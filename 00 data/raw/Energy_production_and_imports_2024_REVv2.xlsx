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U:\Energy\Dissemination\Statistics Explained articles\Energy production and imports\reference year 2024\"/>
    </mc:Choice>
  </mc:AlternateContent>
  <xr:revisionPtr revIDLastSave="0" documentId="13_ncr:1_{712D217C-71AF-4CDF-A99A-CB4763245012}" xr6:coauthVersionLast="47" xr6:coauthVersionMax="47" xr10:uidLastSave="{00000000-0000-0000-0000-000000000000}"/>
  <bookViews>
    <workbookView xWindow="-110" yWindow="-110" windowWidth="19420" windowHeight="10420" tabRatio="837" firstSheet="4" activeTab="11" xr2:uid="{00000000-000D-0000-FFFF-FFFF00000000}"/>
  </bookViews>
  <sheets>
    <sheet name="DATA-OIL" sheetId="6" r:id="rId1"/>
    <sheet name="DATA-COAL" sheetId="1" r:id="rId2"/>
    <sheet name="DATA-GAS" sheetId="3" r:id="rId3"/>
    <sheet name="DATA-ELE" sheetId="10" r:id="rId4"/>
    <sheet name="DATA-HEAT" sheetId="11" r:id="rId5"/>
    <sheet name="DATA-REN" sheetId="16" r:id="rId6"/>
    <sheet name="T-COAL&amp;GAS" sheetId="2" r:id="rId7"/>
    <sheet name="T-OIL" sheetId="8" r:id="rId8"/>
    <sheet name="T-ELE" sheetId="12" r:id="rId9"/>
    <sheet name="T-HEAT" sheetId="15" r:id="rId10"/>
    <sheet name="DATA-CHARTS" sheetId="4" r:id="rId11"/>
    <sheet name="T-REN" sheetId="17" r:id="rId12"/>
    <sheet name="HGHLT-CHART" sheetId="9" r:id="rId13"/>
    <sheet name="GAS-CHART" sheetId="5" r:id="rId14"/>
    <sheet name="COAL-CHART" sheetId="14" r:id="rId15"/>
    <sheet name="OIL-CHART" sheetId="7" r:id="rId16"/>
    <sheet name="ELE-CHART" sheetId="1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0" i="4" l="1"/>
  <c r="AO32" i="4"/>
  <c r="AO31" i="4"/>
  <c r="AJ25" i="4" l="1"/>
  <c r="AJ24" i="4"/>
  <c r="AJ23" i="4"/>
  <c r="AJ22" i="4"/>
  <c r="F29" i="8"/>
  <c r="G29" i="8"/>
  <c r="H29" i="8"/>
  <c r="I29" i="8"/>
  <c r="J29" i="8"/>
  <c r="F30" i="8"/>
  <c r="G30" i="8"/>
  <c r="H30" i="8"/>
  <c r="I30" i="8"/>
  <c r="J30" i="8"/>
  <c r="F31" i="8"/>
  <c r="G31" i="8"/>
  <c r="H31" i="8"/>
  <c r="I31" i="8"/>
  <c r="J31" i="8"/>
  <c r="F32" i="8"/>
  <c r="G32" i="8"/>
  <c r="H32" i="8"/>
  <c r="I32" i="8"/>
  <c r="J32" i="8"/>
  <c r="F33" i="8"/>
  <c r="G33" i="8"/>
  <c r="H33" i="8"/>
  <c r="I33" i="8"/>
  <c r="J33" i="8"/>
  <c r="F34" i="8"/>
  <c r="G34" i="8"/>
  <c r="H34" i="8"/>
  <c r="I34" i="8"/>
  <c r="J34" i="8"/>
  <c r="F35" i="8"/>
  <c r="G35" i="8"/>
  <c r="H35" i="8"/>
  <c r="I35" i="8"/>
  <c r="J35" i="8"/>
  <c r="F36" i="8"/>
  <c r="G36" i="8"/>
  <c r="H36" i="8"/>
  <c r="I36" i="8"/>
  <c r="J36" i="8"/>
  <c r="F37" i="8"/>
  <c r="G37" i="8"/>
  <c r="H37" i="8"/>
  <c r="I37" i="8"/>
  <c r="J37" i="8"/>
  <c r="E37" i="8"/>
  <c r="E36" i="8"/>
  <c r="E35" i="8"/>
  <c r="E34" i="8"/>
  <c r="E33" i="8"/>
  <c r="E32" i="8"/>
  <c r="E31" i="8"/>
  <c r="E30" i="8"/>
  <c r="E29" i="8"/>
  <c r="F4" i="8"/>
  <c r="G4" i="8"/>
  <c r="H4" i="8"/>
  <c r="I4" i="8"/>
  <c r="J4" i="8"/>
  <c r="F5" i="8"/>
  <c r="G5" i="8"/>
  <c r="H5" i="8"/>
  <c r="I5" i="8"/>
  <c r="J5" i="8"/>
  <c r="F6" i="8"/>
  <c r="G6" i="8"/>
  <c r="H6" i="8"/>
  <c r="I6" i="8"/>
  <c r="J6" i="8"/>
  <c r="F7" i="8"/>
  <c r="G7" i="8"/>
  <c r="H7" i="8"/>
  <c r="I7" i="8"/>
  <c r="J7" i="8"/>
  <c r="F8" i="8"/>
  <c r="G8" i="8"/>
  <c r="H8" i="8"/>
  <c r="I8" i="8"/>
  <c r="J8" i="8"/>
  <c r="F9" i="8"/>
  <c r="G9" i="8"/>
  <c r="H9" i="8"/>
  <c r="I9" i="8"/>
  <c r="J9" i="8"/>
  <c r="F10" i="8"/>
  <c r="G10" i="8"/>
  <c r="H10" i="8"/>
  <c r="I10" i="8"/>
  <c r="J10" i="8"/>
  <c r="F11" i="8"/>
  <c r="G11" i="8"/>
  <c r="H11" i="8"/>
  <c r="I11" i="8"/>
  <c r="J11" i="8"/>
  <c r="F12" i="8"/>
  <c r="G12" i="8"/>
  <c r="H12" i="8"/>
  <c r="I12" i="8"/>
  <c r="J12" i="8"/>
  <c r="F13" i="8"/>
  <c r="G13" i="8"/>
  <c r="H13" i="8"/>
  <c r="I13" i="8"/>
  <c r="J13" i="8"/>
  <c r="F14" i="8"/>
  <c r="G14" i="8"/>
  <c r="H14" i="8"/>
  <c r="I14" i="8"/>
  <c r="J14" i="8"/>
  <c r="F15" i="8"/>
  <c r="G15" i="8"/>
  <c r="H15" i="8"/>
  <c r="I15" i="8"/>
  <c r="J15" i="8"/>
  <c r="F16" i="8"/>
  <c r="G16" i="8"/>
  <c r="H16" i="8"/>
  <c r="I16" i="8"/>
  <c r="J16" i="8"/>
  <c r="F17" i="8"/>
  <c r="G17" i="8"/>
  <c r="H17" i="8"/>
  <c r="I17" i="8"/>
  <c r="J17" i="8"/>
  <c r="F18" i="8"/>
  <c r="G18" i="8"/>
  <c r="H18" i="8"/>
  <c r="I18" i="8"/>
  <c r="J18" i="8"/>
  <c r="F19" i="8"/>
  <c r="G19" i="8"/>
  <c r="H19" i="8"/>
  <c r="I19" i="8"/>
  <c r="J19" i="8"/>
  <c r="F20" i="8"/>
  <c r="G20" i="8"/>
  <c r="H20" i="8"/>
  <c r="I20" i="8"/>
  <c r="J20" i="8"/>
  <c r="F21" i="8"/>
  <c r="G21" i="8"/>
  <c r="H21" i="8"/>
  <c r="I21" i="8"/>
  <c r="J21" i="8"/>
  <c r="F22" i="8"/>
  <c r="G22" i="8"/>
  <c r="H22" i="8"/>
  <c r="I22" i="8"/>
  <c r="J22" i="8"/>
  <c r="F23" i="8"/>
  <c r="G23" i="8"/>
  <c r="H23" i="8"/>
  <c r="I23" i="8"/>
  <c r="J23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AJ42" i="4" l="1"/>
  <c r="AJ41" i="4"/>
  <c r="AJ40" i="4"/>
  <c r="AJ39" i="4"/>
  <c r="AN32" i="4"/>
  <c r="AN31" i="4"/>
  <c r="AN30" i="4"/>
  <c r="AM32" i="4"/>
  <c r="AM31" i="4"/>
  <c r="AM30" i="4"/>
  <c r="AN33" i="4"/>
  <c r="AM33" i="4"/>
  <c r="AJ32" i="4"/>
  <c r="AJ31" i="4"/>
  <c r="AJ30" i="4"/>
  <c r="U13" i="4"/>
  <c r="U12" i="4"/>
  <c r="U11" i="4"/>
  <c r="U10" i="4"/>
  <c r="U9" i="4"/>
  <c r="U8" i="4"/>
  <c r="AJ5" i="4"/>
  <c r="AJ4" i="4"/>
  <c r="AJ3" i="4"/>
  <c r="AJ2" i="4"/>
  <c r="E34" i="17"/>
  <c r="F34" i="17"/>
  <c r="G34" i="17"/>
  <c r="H34" i="17"/>
  <c r="I34" i="17"/>
  <c r="E35" i="17"/>
  <c r="F35" i="17"/>
  <c r="G35" i="17"/>
  <c r="H35" i="17"/>
  <c r="I35" i="17"/>
  <c r="E36" i="17"/>
  <c r="F36" i="17"/>
  <c r="G36" i="17"/>
  <c r="H36" i="17"/>
  <c r="I36" i="17"/>
  <c r="E37" i="17"/>
  <c r="F37" i="17"/>
  <c r="G37" i="17"/>
  <c r="H37" i="17"/>
  <c r="I37" i="17"/>
  <c r="E38" i="17"/>
  <c r="F38" i="17"/>
  <c r="G38" i="17"/>
  <c r="H38" i="17"/>
  <c r="I38" i="17"/>
  <c r="E39" i="17"/>
  <c r="F39" i="17"/>
  <c r="G39" i="17"/>
  <c r="H39" i="17"/>
  <c r="I39" i="17"/>
  <c r="E40" i="17"/>
  <c r="F40" i="17"/>
  <c r="G40" i="17"/>
  <c r="H40" i="17"/>
  <c r="I40" i="17"/>
  <c r="E41" i="17"/>
  <c r="F41" i="17"/>
  <c r="G41" i="17"/>
  <c r="H41" i="17"/>
  <c r="I41" i="17"/>
  <c r="E42" i="17"/>
  <c r="F42" i="17"/>
  <c r="G42" i="17"/>
  <c r="H42" i="17"/>
  <c r="I42" i="17"/>
  <c r="E43" i="17"/>
  <c r="F43" i="17"/>
  <c r="G43" i="17"/>
  <c r="H43" i="17"/>
  <c r="I43" i="17"/>
  <c r="E44" i="17"/>
  <c r="F44" i="17"/>
  <c r="G44" i="17"/>
  <c r="H44" i="17"/>
  <c r="I44" i="17"/>
  <c r="E45" i="17"/>
  <c r="F45" i="17"/>
  <c r="G45" i="17"/>
  <c r="H45" i="17"/>
  <c r="I45" i="17"/>
  <c r="E46" i="17"/>
  <c r="F46" i="17"/>
  <c r="G46" i="17"/>
  <c r="H46" i="17"/>
  <c r="I46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E10" i="17"/>
  <c r="F10" i="17"/>
  <c r="G10" i="17"/>
  <c r="H10" i="17"/>
  <c r="I10" i="17"/>
  <c r="E11" i="17"/>
  <c r="E13" i="17" s="1"/>
  <c r="F11" i="17"/>
  <c r="G11" i="17"/>
  <c r="H11" i="17"/>
  <c r="I11" i="17"/>
  <c r="E12" i="17"/>
  <c r="F12" i="17"/>
  <c r="G12" i="17"/>
  <c r="H12" i="17"/>
  <c r="I12" i="17"/>
  <c r="E14" i="17"/>
  <c r="F14" i="17"/>
  <c r="G14" i="17"/>
  <c r="H14" i="17"/>
  <c r="I14" i="17"/>
  <c r="E15" i="17"/>
  <c r="F15" i="17"/>
  <c r="G15" i="17"/>
  <c r="H15" i="17"/>
  <c r="I15" i="17"/>
  <c r="E16" i="17"/>
  <c r="F16" i="17"/>
  <c r="G16" i="17"/>
  <c r="H16" i="17"/>
  <c r="I16" i="17"/>
  <c r="E17" i="17"/>
  <c r="F17" i="17"/>
  <c r="G17" i="17"/>
  <c r="H17" i="17"/>
  <c r="I17" i="17"/>
  <c r="E18" i="17"/>
  <c r="F18" i="17"/>
  <c r="G18" i="17"/>
  <c r="H18" i="17"/>
  <c r="H19" i="17" s="1"/>
  <c r="I18" i="17"/>
  <c r="E20" i="17"/>
  <c r="F20" i="17"/>
  <c r="G20" i="17"/>
  <c r="H20" i="17"/>
  <c r="I20" i="17"/>
  <c r="E21" i="17"/>
  <c r="F21" i="17"/>
  <c r="G21" i="17"/>
  <c r="H21" i="17"/>
  <c r="I21" i="17"/>
  <c r="E22" i="17"/>
  <c r="F22" i="17"/>
  <c r="G22" i="17"/>
  <c r="H22" i="17"/>
  <c r="I22" i="17"/>
  <c r="E23" i="17"/>
  <c r="F23" i="17"/>
  <c r="G23" i="17"/>
  <c r="H23" i="17"/>
  <c r="I23" i="17"/>
  <c r="E24" i="17"/>
  <c r="F24" i="17"/>
  <c r="G24" i="17"/>
  <c r="G25" i="17" s="1"/>
  <c r="H24" i="17"/>
  <c r="I24" i="17"/>
  <c r="E26" i="17"/>
  <c r="F26" i="17"/>
  <c r="G26" i="17"/>
  <c r="H26" i="17"/>
  <c r="I26" i="17"/>
  <c r="E27" i="17"/>
  <c r="F27" i="17"/>
  <c r="G27" i="17"/>
  <c r="H27" i="17"/>
  <c r="I27" i="17"/>
  <c r="D27" i="17"/>
  <c r="D26" i="17"/>
  <c r="D24" i="17"/>
  <c r="D23" i="17"/>
  <c r="D22" i="17"/>
  <c r="D21" i="17"/>
  <c r="D20" i="17"/>
  <c r="D18" i="17"/>
  <c r="D17" i="17"/>
  <c r="D16" i="17"/>
  <c r="D15" i="17"/>
  <c r="D14" i="17"/>
  <c r="D12" i="17"/>
  <c r="D11" i="17"/>
  <c r="D10" i="17"/>
  <c r="E5" i="17"/>
  <c r="F5" i="17"/>
  <c r="G5" i="17"/>
  <c r="H5" i="17"/>
  <c r="I5" i="17"/>
  <c r="I7" i="17" s="1"/>
  <c r="E6" i="17"/>
  <c r="F6" i="17"/>
  <c r="F7" i="17" s="1"/>
  <c r="G6" i="17"/>
  <c r="H6" i="17"/>
  <c r="I6" i="17"/>
  <c r="E8" i="17"/>
  <c r="F8" i="17"/>
  <c r="G8" i="17"/>
  <c r="H8" i="17"/>
  <c r="I8" i="17"/>
  <c r="E9" i="17"/>
  <c r="F9" i="17"/>
  <c r="G9" i="17"/>
  <c r="H9" i="17"/>
  <c r="I9" i="17"/>
  <c r="E4" i="17"/>
  <c r="F4" i="17"/>
  <c r="G4" i="17"/>
  <c r="H4" i="17"/>
  <c r="I4" i="17"/>
  <c r="D9" i="17"/>
  <c r="D8" i="17"/>
  <c r="D6" i="17"/>
  <c r="D5" i="17"/>
  <c r="D4" i="17"/>
  <c r="I54" i="15"/>
  <c r="I53" i="15"/>
  <c r="I52" i="15"/>
  <c r="I51" i="15"/>
  <c r="I50" i="15"/>
  <c r="I49" i="15"/>
  <c r="I48" i="15"/>
  <c r="I47" i="15"/>
  <c r="I46" i="15"/>
  <c r="H54" i="15"/>
  <c r="H53" i="15"/>
  <c r="H52" i="15"/>
  <c r="H51" i="15"/>
  <c r="H50" i="15"/>
  <c r="H49" i="15"/>
  <c r="H48" i="15"/>
  <c r="H47" i="15"/>
  <c r="H46" i="15"/>
  <c r="G54" i="15"/>
  <c r="G53" i="15"/>
  <c r="G52" i="15"/>
  <c r="G51" i="15"/>
  <c r="G50" i="15"/>
  <c r="G49" i="15"/>
  <c r="G48" i="15"/>
  <c r="G47" i="15"/>
  <c r="G46" i="15"/>
  <c r="F54" i="15"/>
  <c r="F53" i="15"/>
  <c r="F52" i="15"/>
  <c r="F51" i="15"/>
  <c r="F50" i="15"/>
  <c r="F49" i="15"/>
  <c r="F48" i="15"/>
  <c r="F47" i="15"/>
  <c r="F46" i="15"/>
  <c r="E54" i="15"/>
  <c r="E53" i="15"/>
  <c r="E52" i="15"/>
  <c r="E51" i="15"/>
  <c r="E50" i="15"/>
  <c r="E49" i="15"/>
  <c r="E48" i="15"/>
  <c r="E47" i="15"/>
  <c r="E46" i="15"/>
  <c r="D54" i="15"/>
  <c r="D53" i="15"/>
  <c r="D52" i="15"/>
  <c r="D51" i="15"/>
  <c r="D50" i="15"/>
  <c r="D49" i="15"/>
  <c r="D48" i="15"/>
  <c r="D47" i="15"/>
  <c r="D46" i="15"/>
  <c r="I61" i="12"/>
  <c r="I60" i="12"/>
  <c r="I59" i="12"/>
  <c r="I58" i="12"/>
  <c r="I57" i="12"/>
  <c r="I56" i="12"/>
  <c r="I55" i="12"/>
  <c r="I54" i="12"/>
  <c r="I53" i="12"/>
  <c r="I52" i="12"/>
  <c r="I51" i="12"/>
  <c r="I50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G13" i="17" l="1"/>
  <c r="F19" i="17"/>
  <c r="E7" i="17"/>
  <c r="I13" i="17"/>
  <c r="H7" i="17"/>
  <c r="G19" i="17"/>
  <c r="H13" i="17"/>
  <c r="G7" i="17"/>
  <c r="F13" i="17"/>
  <c r="I25" i="17"/>
  <c r="H25" i="17"/>
  <c r="I19" i="17"/>
  <c r="F25" i="17"/>
  <c r="E19" i="17"/>
  <c r="E25" i="17"/>
  <c r="D61" i="12"/>
  <c r="D60" i="12"/>
  <c r="D59" i="12"/>
  <c r="D58" i="12"/>
  <c r="D57" i="12"/>
  <c r="D56" i="12"/>
  <c r="D55" i="12"/>
  <c r="D54" i="12"/>
  <c r="D53" i="12"/>
  <c r="D52" i="12"/>
  <c r="D51" i="12"/>
  <c r="D50" i="12"/>
  <c r="D37" i="12"/>
  <c r="D36" i="12"/>
  <c r="D35" i="12"/>
  <c r="D34" i="12"/>
  <c r="P34" i="12" s="1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P5" i="12" s="1"/>
  <c r="D4" i="12"/>
  <c r="I57" i="2"/>
  <c r="I56" i="2"/>
  <c r="I54" i="2"/>
  <c r="I53" i="2"/>
  <c r="I52" i="2"/>
  <c r="I51" i="2"/>
  <c r="H57" i="2"/>
  <c r="H56" i="2"/>
  <c r="H54" i="2"/>
  <c r="H53" i="2"/>
  <c r="H52" i="2"/>
  <c r="H51" i="2"/>
  <c r="G57" i="2"/>
  <c r="G56" i="2"/>
  <c r="G54" i="2"/>
  <c r="G53" i="2"/>
  <c r="G52" i="2"/>
  <c r="G51" i="2"/>
  <c r="F57" i="2"/>
  <c r="F56" i="2"/>
  <c r="F54" i="2"/>
  <c r="F53" i="2"/>
  <c r="F52" i="2"/>
  <c r="F51" i="2"/>
  <c r="E57" i="2"/>
  <c r="E56" i="2"/>
  <c r="E54" i="2"/>
  <c r="E53" i="2"/>
  <c r="E52" i="2"/>
  <c r="E51" i="2"/>
  <c r="D57" i="2"/>
  <c r="D56" i="2"/>
  <c r="D54" i="2"/>
  <c r="D53" i="2"/>
  <c r="D52" i="2"/>
  <c r="D51" i="2"/>
  <c r="I45" i="2"/>
  <c r="I44" i="2"/>
  <c r="I42" i="2"/>
  <c r="I41" i="2"/>
  <c r="I40" i="2"/>
  <c r="I39" i="2"/>
  <c r="H45" i="2"/>
  <c r="H44" i="2"/>
  <c r="H42" i="2"/>
  <c r="H41" i="2"/>
  <c r="H40" i="2"/>
  <c r="H39" i="2"/>
  <c r="G45" i="2"/>
  <c r="G44" i="2"/>
  <c r="G42" i="2"/>
  <c r="G41" i="2"/>
  <c r="G40" i="2"/>
  <c r="G39" i="2"/>
  <c r="F45" i="2"/>
  <c r="F44" i="2"/>
  <c r="F42" i="2"/>
  <c r="F41" i="2"/>
  <c r="F40" i="2"/>
  <c r="F39" i="2"/>
  <c r="E45" i="2"/>
  <c r="E44" i="2"/>
  <c r="E42" i="2"/>
  <c r="E41" i="2"/>
  <c r="E40" i="2"/>
  <c r="E39" i="2"/>
  <c r="D45" i="2"/>
  <c r="D44" i="2"/>
  <c r="D42" i="2"/>
  <c r="D41" i="2"/>
  <c r="D40" i="2"/>
  <c r="D39" i="2"/>
  <c r="I33" i="2"/>
  <c r="I32" i="2"/>
  <c r="I31" i="2"/>
  <c r="I30" i="2"/>
  <c r="I29" i="2"/>
  <c r="I28" i="2"/>
  <c r="I27" i="2"/>
  <c r="I26" i="2"/>
  <c r="I25" i="2"/>
  <c r="I24" i="2"/>
  <c r="I22" i="2"/>
  <c r="I21" i="2"/>
  <c r="I20" i="2"/>
  <c r="I19" i="2"/>
  <c r="I18" i="2"/>
  <c r="I17" i="2"/>
  <c r="H33" i="2"/>
  <c r="H32" i="2"/>
  <c r="H31" i="2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G33" i="2"/>
  <c r="G32" i="2"/>
  <c r="G31" i="2"/>
  <c r="G30" i="2"/>
  <c r="G29" i="2"/>
  <c r="G28" i="2"/>
  <c r="G27" i="2"/>
  <c r="G26" i="2"/>
  <c r="G25" i="2"/>
  <c r="G24" i="2"/>
  <c r="G22" i="2"/>
  <c r="G21" i="2"/>
  <c r="G20" i="2"/>
  <c r="G19" i="2"/>
  <c r="G18" i="2"/>
  <c r="G17" i="2"/>
  <c r="F33" i="2"/>
  <c r="F32" i="2"/>
  <c r="F31" i="2"/>
  <c r="F30" i="2"/>
  <c r="F29" i="2"/>
  <c r="F28" i="2"/>
  <c r="F27" i="2"/>
  <c r="F26" i="2"/>
  <c r="F25" i="2"/>
  <c r="F24" i="2"/>
  <c r="F22" i="2"/>
  <c r="F21" i="2"/>
  <c r="F20" i="2"/>
  <c r="F19" i="2"/>
  <c r="F18" i="2"/>
  <c r="F17" i="2"/>
  <c r="E33" i="2"/>
  <c r="E32" i="2"/>
  <c r="E31" i="2"/>
  <c r="E30" i="2"/>
  <c r="E29" i="2"/>
  <c r="E28" i="2"/>
  <c r="E27" i="2"/>
  <c r="E26" i="2"/>
  <c r="E25" i="2"/>
  <c r="E24" i="2"/>
  <c r="E22" i="2"/>
  <c r="E21" i="2"/>
  <c r="E20" i="2"/>
  <c r="E19" i="2"/>
  <c r="E18" i="2"/>
  <c r="E17" i="2"/>
  <c r="D33" i="2"/>
  <c r="D32" i="2"/>
  <c r="D31" i="2"/>
  <c r="D30" i="2"/>
  <c r="D29" i="2"/>
  <c r="D28" i="2"/>
  <c r="D27" i="2"/>
  <c r="D26" i="2"/>
  <c r="D25" i="2"/>
  <c r="D24" i="2"/>
  <c r="D22" i="2"/>
  <c r="D21" i="2"/>
  <c r="D20" i="2"/>
  <c r="D19" i="2"/>
  <c r="D18" i="2"/>
  <c r="D17" i="2"/>
  <c r="I10" i="2"/>
  <c r="I9" i="2"/>
  <c r="I8" i="2"/>
  <c r="I6" i="2"/>
  <c r="I5" i="2"/>
  <c r="I4" i="2"/>
  <c r="I3" i="2"/>
  <c r="H10" i="2"/>
  <c r="H9" i="2"/>
  <c r="H8" i="2"/>
  <c r="H6" i="2"/>
  <c r="H5" i="2"/>
  <c r="H4" i="2"/>
  <c r="H3" i="2"/>
  <c r="G10" i="2"/>
  <c r="G9" i="2"/>
  <c r="G8" i="2"/>
  <c r="G6" i="2"/>
  <c r="G5" i="2"/>
  <c r="G4" i="2"/>
  <c r="G3" i="2"/>
  <c r="F10" i="2"/>
  <c r="F9" i="2"/>
  <c r="F8" i="2"/>
  <c r="F6" i="2"/>
  <c r="F5" i="2"/>
  <c r="F4" i="2"/>
  <c r="F3" i="2"/>
  <c r="E10" i="2"/>
  <c r="E9" i="2"/>
  <c r="E8" i="2"/>
  <c r="E6" i="2"/>
  <c r="E5" i="2"/>
  <c r="E4" i="2"/>
  <c r="E3" i="2"/>
  <c r="D10" i="2"/>
  <c r="D9" i="2"/>
  <c r="D8" i="2"/>
  <c r="D5" i="2"/>
  <c r="D6" i="2"/>
  <c r="D4" i="2"/>
  <c r="D3" i="2"/>
  <c r="M38" i="15"/>
  <c r="N38" i="15"/>
  <c r="L38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4" i="15"/>
  <c r="T11" i="4"/>
  <c r="AI22" i="4"/>
  <c r="AI23" i="4"/>
  <c r="AI24" i="4"/>
  <c r="N29" i="8"/>
  <c r="N30" i="8"/>
  <c r="N31" i="8"/>
  <c r="N32" i="8"/>
  <c r="N33" i="8"/>
  <c r="N34" i="8"/>
  <c r="N35" i="8"/>
  <c r="N36" i="8"/>
  <c r="N37" i="8"/>
  <c r="R38" i="15" l="1"/>
  <c r="O38" i="15"/>
  <c r="P38" i="15"/>
  <c r="F38" i="8"/>
  <c r="G38" i="8"/>
  <c r="H38" i="8"/>
  <c r="I38" i="8"/>
  <c r="J38" i="8"/>
  <c r="N38" i="8" s="1"/>
  <c r="AI41" i="4"/>
  <c r="AI40" i="4"/>
  <c r="AI39" i="4"/>
  <c r="AI32" i="4"/>
  <c r="AI31" i="4"/>
  <c r="AI30" i="4"/>
  <c r="T13" i="4"/>
  <c r="T12" i="4"/>
  <c r="T10" i="4"/>
  <c r="T9" i="4"/>
  <c r="T8" i="4"/>
  <c r="AI4" i="4"/>
  <c r="AI3" i="4"/>
  <c r="AI2" i="4"/>
  <c r="M46" i="17"/>
  <c r="M23" i="17"/>
  <c r="M16" i="17"/>
  <c r="M6" i="17"/>
  <c r="I67" i="12"/>
  <c r="M11" i="17" l="1"/>
  <c r="M15" i="17"/>
  <c r="M10" i="17"/>
  <c r="M39" i="17"/>
  <c r="M45" i="17"/>
  <c r="M37" i="17"/>
  <c r="M41" i="17"/>
  <c r="M43" i="17"/>
  <c r="M35" i="17"/>
  <c r="M38" i="17"/>
  <c r="M34" i="17"/>
  <c r="M42" i="17"/>
  <c r="M24" i="17"/>
  <c r="M44" i="17"/>
  <c r="M36" i="17"/>
  <c r="M4" i="17"/>
  <c r="M18" i="17"/>
  <c r="M17" i="17"/>
  <c r="M27" i="17"/>
  <c r="M12" i="17"/>
  <c r="M22" i="17"/>
  <c r="M21" i="17"/>
  <c r="M9" i="17"/>
  <c r="M5" i="17"/>
  <c r="G67" i="12"/>
  <c r="H67" i="12"/>
  <c r="N4" i="12"/>
  <c r="N18" i="12"/>
  <c r="N23" i="12"/>
  <c r="N28" i="12"/>
  <c r="N5" i="12"/>
  <c r="N7" i="12"/>
  <c r="N12" i="12"/>
  <c r="N10" i="12"/>
  <c r="N17" i="12"/>
  <c r="N25" i="12"/>
  <c r="N33" i="12"/>
  <c r="N34" i="12"/>
  <c r="N36" i="12"/>
  <c r="N14" i="12"/>
  <c r="N22" i="12"/>
  <c r="N30" i="12"/>
  <c r="N26" i="12"/>
  <c r="N15" i="12"/>
  <c r="N20" i="12"/>
  <c r="N19" i="12"/>
  <c r="N27" i="12"/>
  <c r="N35" i="12"/>
  <c r="E67" i="12"/>
  <c r="N31" i="12"/>
  <c r="N16" i="12"/>
  <c r="N24" i="12"/>
  <c r="N32" i="12"/>
  <c r="N6" i="12"/>
  <c r="N8" i="12"/>
  <c r="N11" i="12"/>
  <c r="N9" i="12"/>
  <c r="N13" i="12"/>
  <c r="N21" i="12"/>
  <c r="N29" i="12"/>
  <c r="N37" i="12"/>
  <c r="F67" i="12"/>
  <c r="I38" i="12"/>
  <c r="P37" i="12" l="1"/>
  <c r="P36" i="12"/>
  <c r="P35" i="12"/>
  <c r="P33" i="12"/>
  <c r="P32" i="12"/>
  <c r="P31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4" i="12"/>
  <c r="E23" i="2"/>
  <c r="F23" i="2"/>
  <c r="G23" i="2"/>
  <c r="H23" i="2"/>
  <c r="I23" i="2"/>
  <c r="D23" i="2"/>
  <c r="E43" i="2"/>
  <c r="M31" i="2"/>
  <c r="M22" i="2"/>
  <c r="M17" i="2"/>
  <c r="M23" i="2" l="1"/>
  <c r="M19" i="2"/>
  <c r="M28" i="2"/>
  <c r="M18" i="2"/>
  <c r="M27" i="2"/>
  <c r="M24" i="2"/>
  <c r="M32" i="2"/>
  <c r="M21" i="2"/>
  <c r="M30" i="2"/>
  <c r="M25" i="2"/>
  <c r="M33" i="2"/>
  <c r="M20" i="2"/>
  <c r="M29" i="2"/>
  <c r="M26" i="2"/>
  <c r="F43" i="2"/>
  <c r="G43" i="2"/>
  <c r="I43" i="2"/>
  <c r="E38" i="12"/>
  <c r="D67" i="12"/>
  <c r="P30" i="12"/>
  <c r="H43" i="2"/>
  <c r="M10" i="2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B13" i="4"/>
  <c r="K61" i="12"/>
  <c r="K50" i="12"/>
  <c r="K52" i="12"/>
  <c r="K53" i="12"/>
  <c r="K5" i="15"/>
  <c r="L5" i="15"/>
  <c r="K6" i="15"/>
  <c r="L6" i="15"/>
  <c r="K7" i="15"/>
  <c r="L7" i="15"/>
  <c r="K8" i="15"/>
  <c r="L8" i="15"/>
  <c r="K9" i="15"/>
  <c r="L9" i="15"/>
  <c r="K10" i="15"/>
  <c r="L10" i="15"/>
  <c r="K11" i="15"/>
  <c r="L11" i="15"/>
  <c r="K12" i="15"/>
  <c r="L12" i="15"/>
  <c r="K13" i="15"/>
  <c r="L13" i="15"/>
  <c r="K14" i="15"/>
  <c r="L14" i="15"/>
  <c r="K15" i="15"/>
  <c r="L15" i="15"/>
  <c r="K16" i="15"/>
  <c r="L16" i="15"/>
  <c r="K17" i="15"/>
  <c r="L17" i="15"/>
  <c r="K18" i="15"/>
  <c r="L18" i="15"/>
  <c r="K19" i="15"/>
  <c r="L19" i="15"/>
  <c r="K20" i="15"/>
  <c r="L20" i="15"/>
  <c r="K21" i="15"/>
  <c r="L21" i="15"/>
  <c r="K22" i="15"/>
  <c r="L22" i="15"/>
  <c r="K23" i="15"/>
  <c r="L23" i="15"/>
  <c r="K24" i="15"/>
  <c r="L24" i="15"/>
  <c r="K25" i="15"/>
  <c r="L25" i="15"/>
  <c r="K26" i="15"/>
  <c r="L26" i="15"/>
  <c r="K27" i="15"/>
  <c r="L27" i="15"/>
  <c r="K28" i="15"/>
  <c r="L28" i="15"/>
  <c r="K29" i="15"/>
  <c r="L29" i="15"/>
  <c r="E30" i="15"/>
  <c r="E31" i="15" s="1"/>
  <c r="F30" i="15"/>
  <c r="F31" i="15" s="1"/>
  <c r="G30" i="15"/>
  <c r="G31" i="15" s="1"/>
  <c r="H30" i="15"/>
  <c r="H31" i="15" s="1"/>
  <c r="I30" i="15"/>
  <c r="D30" i="15"/>
  <c r="D31" i="15" s="1"/>
  <c r="L4" i="15"/>
  <c r="K4" i="15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B41" i="4"/>
  <c r="B40" i="4"/>
  <c r="B39" i="4"/>
  <c r="M30" i="15" l="1"/>
  <c r="N30" i="15"/>
  <c r="K42" i="17"/>
  <c r="K46" i="17"/>
  <c r="K38" i="17"/>
  <c r="L60" i="12"/>
  <c r="K57" i="12"/>
  <c r="K52" i="15"/>
  <c r="L51" i="15"/>
  <c r="L58" i="12"/>
  <c r="K54" i="12"/>
  <c r="K60" i="12"/>
  <c r="K56" i="12"/>
  <c r="K46" i="15"/>
  <c r="K44" i="17"/>
  <c r="K36" i="17"/>
  <c r="K39" i="17"/>
  <c r="K35" i="17"/>
  <c r="L43" i="17"/>
  <c r="L34" i="17"/>
  <c r="L36" i="17"/>
  <c r="K37" i="17"/>
  <c r="L45" i="17"/>
  <c r="L41" i="17"/>
  <c r="K34" i="17"/>
  <c r="L38" i="17"/>
  <c r="K18" i="17"/>
  <c r="K17" i="17"/>
  <c r="K43" i="17"/>
  <c r="L39" i="17"/>
  <c r="L35" i="17"/>
  <c r="K45" i="17"/>
  <c r="K41" i="17"/>
  <c r="L46" i="17"/>
  <c r="L44" i="17"/>
  <c r="L42" i="17"/>
  <c r="L37" i="17"/>
  <c r="K9" i="17"/>
  <c r="D19" i="17"/>
  <c r="K16" i="17"/>
  <c r="L50" i="15"/>
  <c r="K50" i="15"/>
  <c r="L49" i="15"/>
  <c r="L47" i="15"/>
  <c r="L54" i="15"/>
  <c r="K54" i="15"/>
  <c r="L53" i="15"/>
  <c r="L52" i="15"/>
  <c r="K48" i="15"/>
  <c r="L48" i="15"/>
  <c r="L46" i="15"/>
  <c r="K53" i="15"/>
  <c r="K51" i="15"/>
  <c r="K49" i="15"/>
  <c r="K47" i="15"/>
  <c r="L54" i="12"/>
  <c r="L51" i="12"/>
  <c r="L56" i="12"/>
  <c r="L50" i="12"/>
  <c r="L52" i="12"/>
  <c r="K59" i="12"/>
  <c r="K55" i="12"/>
  <c r="K58" i="12"/>
  <c r="K51" i="12"/>
  <c r="L61" i="12"/>
  <c r="L59" i="12"/>
  <c r="L57" i="12"/>
  <c r="L55" i="12"/>
  <c r="L53" i="12"/>
  <c r="L12" i="17"/>
  <c r="K11" i="17"/>
  <c r="K15" i="17"/>
  <c r="L6" i="17"/>
  <c r="K10" i="17"/>
  <c r="L23" i="17"/>
  <c r="L16" i="17"/>
  <c r="K6" i="17"/>
  <c r="L22" i="17"/>
  <c r="D25" i="17"/>
  <c r="K22" i="17"/>
  <c r="D13" i="17"/>
  <c r="K12" i="17"/>
  <c r="L10" i="17"/>
  <c r="K5" i="17"/>
  <c r="L27" i="17"/>
  <c r="K24" i="17"/>
  <c r="L24" i="17"/>
  <c r="L15" i="17"/>
  <c r="L11" i="17"/>
  <c r="L9" i="17"/>
  <c r="L5" i="17"/>
  <c r="K23" i="17"/>
  <c r="K27" i="17"/>
  <c r="L18" i="17"/>
  <c r="L21" i="17"/>
  <c r="L17" i="17"/>
  <c r="K21" i="17"/>
  <c r="D7" i="17"/>
  <c r="L4" i="17"/>
  <c r="K4" i="17"/>
  <c r="K30" i="15"/>
  <c r="L30" i="15"/>
  <c r="I31" i="15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M25" i="17" l="1"/>
  <c r="M19" i="17"/>
  <c r="M13" i="17"/>
  <c r="M7" i="17"/>
  <c r="M31" i="15"/>
  <c r="N31" i="15"/>
  <c r="K13" i="17"/>
  <c r="L19" i="17"/>
  <c r="K25" i="17"/>
  <c r="L25" i="17"/>
  <c r="K19" i="17"/>
  <c r="L13" i="17"/>
  <c r="K7" i="17"/>
  <c r="L7" i="17"/>
  <c r="L31" i="15"/>
  <c r="K31" i="15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K15" i="12"/>
  <c r="B32" i="4"/>
  <c r="B30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B12" i="4"/>
  <c r="L39" i="8"/>
  <c r="M39" i="8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B24" i="4"/>
  <c r="B23" i="4"/>
  <c r="B22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B4" i="4"/>
  <c r="B3" i="4"/>
  <c r="B2" i="4"/>
  <c r="K10" i="2"/>
  <c r="D7" i="2"/>
  <c r="D43" i="2"/>
  <c r="L10" i="8" l="1"/>
  <c r="D55" i="2"/>
  <c r="K52" i="2"/>
  <c r="L6" i="8"/>
  <c r="L21" i="12"/>
  <c r="K12" i="12"/>
  <c r="K8" i="12"/>
  <c r="L36" i="8"/>
  <c r="F55" i="2"/>
  <c r="E55" i="2"/>
  <c r="I7" i="2"/>
  <c r="E7" i="2"/>
  <c r="L9" i="2"/>
  <c r="K17" i="2"/>
  <c r="K22" i="2"/>
  <c r="H55" i="2"/>
  <c r="H7" i="2"/>
  <c r="G55" i="2"/>
  <c r="G7" i="2"/>
  <c r="L41" i="2"/>
  <c r="K42" i="2"/>
  <c r="F7" i="2"/>
  <c r="K41" i="2"/>
  <c r="K27" i="2"/>
  <c r="L51" i="2"/>
  <c r="K51" i="2"/>
  <c r="L6" i="2"/>
  <c r="K9" i="2"/>
  <c r="L42" i="2"/>
  <c r="K28" i="2"/>
  <c r="L57" i="2"/>
  <c r="K53" i="2"/>
  <c r="K5" i="2"/>
  <c r="I55" i="2"/>
  <c r="K11" i="12"/>
  <c r="L11" i="12"/>
  <c r="L37" i="12"/>
  <c r="L33" i="12"/>
  <c r="K23" i="12"/>
  <c r="K19" i="12"/>
  <c r="D38" i="12"/>
  <c r="K36" i="12"/>
  <c r="K32" i="12"/>
  <c r="K28" i="12"/>
  <c r="L25" i="12"/>
  <c r="K22" i="12"/>
  <c r="K18" i="12"/>
  <c r="K14" i="12"/>
  <c r="L35" i="12"/>
  <c r="L31" i="12"/>
  <c r="L27" i="12"/>
  <c r="K7" i="12"/>
  <c r="L7" i="12"/>
  <c r="K34" i="12"/>
  <c r="K30" i="12"/>
  <c r="K26" i="12"/>
  <c r="K25" i="12"/>
  <c r="K21" i="12"/>
  <c r="K17" i="12"/>
  <c r="K13" i="12"/>
  <c r="K10" i="12"/>
  <c r="K6" i="12"/>
  <c r="L18" i="12"/>
  <c r="K37" i="12"/>
  <c r="K33" i="12"/>
  <c r="K29" i="12"/>
  <c r="K24" i="12"/>
  <c r="K20" i="12"/>
  <c r="L16" i="12"/>
  <c r="K9" i="12"/>
  <c r="H38" i="12"/>
  <c r="K5" i="12"/>
  <c r="L29" i="12"/>
  <c r="L14" i="12"/>
  <c r="L23" i="12"/>
  <c r="L9" i="12"/>
  <c r="L5" i="12"/>
  <c r="G38" i="12"/>
  <c r="G39" i="12" s="1"/>
  <c r="K35" i="12"/>
  <c r="K31" i="12"/>
  <c r="K27" i="12"/>
  <c r="K16" i="12"/>
  <c r="F38" i="12"/>
  <c r="L36" i="12"/>
  <c r="L34" i="12"/>
  <c r="L32" i="12"/>
  <c r="L30" i="12"/>
  <c r="L28" i="12"/>
  <c r="L26" i="12"/>
  <c r="L24" i="12"/>
  <c r="L22" i="12"/>
  <c r="L20" i="12"/>
  <c r="L19" i="12"/>
  <c r="L17" i="12"/>
  <c r="L15" i="12"/>
  <c r="L13" i="12"/>
  <c r="L12" i="12"/>
  <c r="L10" i="12"/>
  <c r="L8" i="12"/>
  <c r="L6" i="12"/>
  <c r="E39" i="12"/>
  <c r="L4" i="12"/>
  <c r="K4" i="12"/>
  <c r="L32" i="8"/>
  <c r="L35" i="8"/>
  <c r="L31" i="8"/>
  <c r="L34" i="8"/>
  <c r="L30" i="8"/>
  <c r="M36" i="8"/>
  <c r="L19" i="8"/>
  <c r="L15" i="8"/>
  <c r="E38" i="8"/>
  <c r="L16" i="8"/>
  <c r="L12" i="8"/>
  <c r="L8" i="8"/>
  <c r="L37" i="8"/>
  <c r="L33" i="8"/>
  <c r="M29" i="8"/>
  <c r="M33" i="8"/>
  <c r="M31" i="8"/>
  <c r="M7" i="8"/>
  <c r="L23" i="8"/>
  <c r="L18" i="8"/>
  <c r="L14" i="8"/>
  <c r="L21" i="8"/>
  <c r="L29" i="8"/>
  <c r="M37" i="8"/>
  <c r="M35" i="8"/>
  <c r="M34" i="8"/>
  <c r="M32" i="8"/>
  <c r="M30" i="8"/>
  <c r="M12" i="8"/>
  <c r="M16" i="8"/>
  <c r="M20" i="8"/>
  <c r="L17" i="8"/>
  <c r="L13" i="8"/>
  <c r="L5" i="8"/>
  <c r="M9" i="8"/>
  <c r="L20" i="8"/>
  <c r="M8" i="8"/>
  <c r="M18" i="8"/>
  <c r="M23" i="8"/>
  <c r="M19" i="8"/>
  <c r="M15" i="8"/>
  <c r="L7" i="8"/>
  <c r="M14" i="8"/>
  <c r="M5" i="8"/>
  <c r="L9" i="8"/>
  <c r="M21" i="8"/>
  <c r="M17" i="8"/>
  <c r="M13" i="8"/>
  <c r="M10" i="8"/>
  <c r="M6" i="8"/>
  <c r="M4" i="8"/>
  <c r="L4" i="8"/>
  <c r="L10" i="2"/>
  <c r="L4" i="2"/>
  <c r="L27" i="2"/>
  <c r="K3" i="2"/>
  <c r="L31" i="2"/>
  <c r="L28" i="2"/>
  <c r="K29" i="2"/>
  <c r="L3" i="2"/>
  <c r="K19" i="2"/>
  <c r="K4" i="2"/>
  <c r="K6" i="2"/>
  <c r="L5" i="2"/>
  <c r="K54" i="2"/>
  <c r="L53" i="2"/>
  <c r="L26" i="2"/>
  <c r="L25" i="2"/>
  <c r="L32" i="2"/>
  <c r="K21" i="2"/>
  <c r="K24" i="2"/>
  <c r="L33" i="2"/>
  <c r="K30" i="2"/>
  <c r="L29" i="2"/>
  <c r="L54" i="2"/>
  <c r="L52" i="2"/>
  <c r="K57" i="2"/>
  <c r="L18" i="2"/>
  <c r="L22" i="2"/>
  <c r="K25" i="2"/>
  <c r="K31" i="2"/>
  <c r="K18" i="2"/>
  <c r="K20" i="2"/>
  <c r="K23" i="2"/>
  <c r="K33" i="2"/>
  <c r="L21" i="2"/>
  <c r="K32" i="2"/>
  <c r="L17" i="2"/>
  <c r="L30" i="2"/>
  <c r="L24" i="2"/>
  <c r="L20" i="2"/>
  <c r="L39" i="2"/>
  <c r="L23" i="2"/>
  <c r="L19" i="2"/>
  <c r="K26" i="2"/>
  <c r="L40" i="2"/>
  <c r="L45" i="2"/>
  <c r="K39" i="2"/>
  <c r="K40" i="2"/>
  <c r="K45" i="2"/>
  <c r="H39" i="12" l="1"/>
  <c r="N38" i="12"/>
  <c r="D39" i="12"/>
  <c r="P38" i="12"/>
  <c r="L38" i="8"/>
  <c r="K7" i="2"/>
  <c r="K43" i="2"/>
  <c r="L7" i="2"/>
  <c r="L55" i="2"/>
  <c r="L43" i="2"/>
  <c r="K55" i="2"/>
  <c r="K38" i="12"/>
  <c r="L38" i="12"/>
  <c r="I39" i="12"/>
  <c r="R32" i="12" s="1"/>
  <c r="F39" i="12"/>
  <c r="M38" i="8"/>
  <c r="K39" i="12" l="1"/>
  <c r="R10" i="12"/>
  <c r="R14" i="12"/>
  <c r="R19" i="12"/>
  <c r="R24" i="12"/>
  <c r="R9" i="12"/>
  <c r="R36" i="12"/>
  <c r="R35" i="12"/>
  <c r="R21" i="12"/>
  <c r="R23" i="12"/>
  <c r="R7" i="12"/>
  <c r="R33" i="12"/>
  <c r="R6" i="12"/>
  <c r="R28" i="12"/>
  <c r="R17" i="12"/>
  <c r="R15" i="12"/>
  <c r="R8" i="12"/>
  <c r="R5" i="12"/>
  <c r="R4" i="12"/>
  <c r="R12" i="12"/>
  <c r="R34" i="12"/>
  <c r="R22" i="12"/>
  <c r="R27" i="12"/>
  <c r="R13" i="12"/>
  <c r="R18" i="12"/>
  <c r="R20" i="12"/>
  <c r="R31" i="12"/>
  <c r="R11" i="12"/>
  <c r="R37" i="12"/>
  <c r="R25" i="12"/>
  <c r="R16" i="12"/>
  <c r="R38" i="12"/>
  <c r="L39" i="12"/>
</calcChain>
</file>

<file path=xl/sharedStrings.xml><?xml version="1.0" encoding="utf-8"?>
<sst xmlns="http://schemas.openxmlformats.org/spreadsheetml/2006/main" count="3947" uniqueCount="313">
  <si>
    <t>Supply, transformation and consumption of solid fossil fuels</t>
  </si>
  <si>
    <t xml:space="preserve">Dataset: </t>
  </si>
  <si>
    <t xml:space="preserve">Last updated: </t>
  </si>
  <si>
    <t>Time frequency</t>
  </si>
  <si>
    <t>Annual</t>
  </si>
  <si>
    <t>Unit of measure</t>
  </si>
  <si>
    <t>Thousand tonnes</t>
  </si>
  <si>
    <t>Geopolitical entity (reporting)</t>
  </si>
  <si>
    <t>European Union - 27 countries (from 2020)</t>
  </si>
  <si>
    <t>TIME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</si>
  <si>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</si>
  <si>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</si>
  <si>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</si>
  <si>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</si>
  <si>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</si>
  <si>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</si>
  <si>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</si>
  <si>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</si>
  <si>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</si>
  <si>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</si>
  <si>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</si>
  <si>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</si>
  <si>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</si>
  <si>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</si>
  <si>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</si>
  <si>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</si>
  <si>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</si>
  <si>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</si>
  <si>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</si>
  <si>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</si>
  <si>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</si>
  <si>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</si>
  <si>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</si>
  <si>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</si>
  <si>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</si>
  <si>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</si>
  <si>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</si>
  <si>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</si>
  <si>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</si>
  <si>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</si>
  <si>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</si>
  <si>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</si>
  <si>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</si>
  <si>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SIEC (Labels)</t>
  </si>
  <si>
    <t>NRG_BAL (Labels)</t>
  </si>
  <si>
    <t/>
  </si>
  <si>
    <t>Solid fossil fuels</t>
  </si>
  <si>
    <t>Indigenous production</t>
  </si>
  <si>
    <t>Transfer from other sources</t>
  </si>
  <si>
    <t>Imports</t>
  </si>
  <si>
    <t>Exports</t>
  </si>
  <si>
    <t>Change in stock</t>
  </si>
  <si>
    <t>International maritime bunkers</t>
  </si>
  <si>
    <t>Inland consumption - calculated</t>
  </si>
  <si>
    <t>Hard coal</t>
  </si>
  <si>
    <t>Anthracite</t>
  </si>
  <si>
    <t>Coking coal</t>
  </si>
  <si>
    <t>Other bituminous coal</t>
  </si>
  <si>
    <t>Brown coal</t>
  </si>
  <si>
    <t>Sub-bituminous coal</t>
  </si>
  <si>
    <t>Lignite</t>
  </si>
  <si>
    <t>Coke oven coke</t>
  </si>
  <si>
    <t>Gas coke</t>
  </si>
  <si>
    <t>Patent fuel</t>
  </si>
  <si>
    <t>Brown coal briquettes</t>
  </si>
  <si>
    <t>Coal tar</t>
  </si>
  <si>
    <t>Peat</t>
  </si>
  <si>
    <t>Peat products</t>
  </si>
  <si>
    <t>Oil shale and oil sands</t>
  </si>
  <si>
    <t>Special value</t>
  </si>
  <si>
    <t>not available</t>
  </si>
  <si>
    <t>kt</t>
  </si>
  <si>
    <t>TJ GCV</t>
  </si>
  <si>
    <t>Inland consumption (calculated)</t>
  </si>
  <si>
    <t>Supply, transformation and consumption of gas</t>
  </si>
  <si>
    <t>Terajoule (gross calorific value - GCV)</t>
  </si>
  <si>
    <t>Manufactured gases</t>
  </si>
  <si>
    <t>Coke oven gas</t>
  </si>
  <si>
    <t>Gas works gas</t>
  </si>
  <si>
    <t>Blast furnace gas</t>
  </si>
  <si>
    <t>Other recovered gases</t>
  </si>
  <si>
    <t>Natural gas</t>
  </si>
  <si>
    <t>International marine bunkers</t>
  </si>
  <si>
    <t>Net imports</t>
  </si>
  <si>
    <t>Biogas injected in the grid</t>
  </si>
  <si>
    <t>Natural gas domestic production</t>
  </si>
  <si>
    <t>Natural gas net imports</t>
  </si>
  <si>
    <t>Supply, transformation and consumption of oil and petroleum products</t>
  </si>
  <si>
    <t>Oil and petroleum products</t>
  </si>
  <si>
    <t>Gross inland deliveries</t>
  </si>
  <si>
    <t>Gross inland deliveries - calculated</t>
  </si>
  <si>
    <t>Gross inland deliveries - observed</t>
  </si>
  <si>
    <t>Oil and petroleum products (excluding biofuel portion)</t>
  </si>
  <si>
    <t>Oil products</t>
  </si>
  <si>
    <t>Oil products (excluding biofuel portion)</t>
  </si>
  <si>
    <t>Oil domestic production</t>
  </si>
  <si>
    <t>Oil net imports</t>
  </si>
  <si>
    <t>Liquid biofuels blended</t>
  </si>
  <si>
    <t>Crude oil, NGL, refinery feedstocks, additives and oxygenates and other hydrocarbons</t>
  </si>
  <si>
    <t>Recovered and recycled products</t>
  </si>
  <si>
    <t>Transformation output - refineries and petrochemical industry - refinery output</t>
  </si>
  <si>
    <t>Refinery intake - calculated</t>
  </si>
  <si>
    <t>Backflows</t>
  </si>
  <si>
    <t>Primary product receipts</t>
  </si>
  <si>
    <t>Interproduct transfers</t>
  </si>
  <si>
    <t>Products transferred</t>
  </si>
  <si>
    <t>Direct use</t>
  </si>
  <si>
    <t>Refinery output</t>
  </si>
  <si>
    <t>Refinery fuel</t>
  </si>
  <si>
    <t>Oil products (including biofuels blended)</t>
  </si>
  <si>
    <t>Crude oil, NGL, refinery feedstocks, additives and oxygenates and other hydrocarbons (including biofuels blended)</t>
  </si>
  <si>
    <t>+</t>
  </si>
  <si>
    <t>-</t>
  </si>
  <si>
    <t>=</t>
  </si>
  <si>
    <t>Petroleum products</t>
  </si>
  <si>
    <t>Energy balance</t>
  </si>
  <si>
    <t>Crude oil, NGL, refinery feedstocks, additives and oxygenates and other hydrocarbons (excluding biofuel portion)</t>
  </si>
  <si>
    <t>Crude oil</t>
  </si>
  <si>
    <t>Natural gas liquids</t>
  </si>
  <si>
    <t>Refinery feedstocks</t>
  </si>
  <si>
    <t>Additives and oxygenates (excluding biofuel portion)</t>
  </si>
  <si>
    <t>Additives and oxygenates</t>
  </si>
  <si>
    <t>Biofuels for blending</t>
  </si>
  <si>
    <t>Other hydrocarbons</t>
  </si>
  <si>
    <t>Refinery gas</t>
  </si>
  <si>
    <t>Ethane</t>
  </si>
  <si>
    <t>Liquefied petroleum gases</t>
  </si>
  <si>
    <t>Naphtha</t>
  </si>
  <si>
    <t>Aviation gasoline</t>
  </si>
  <si>
    <t>Motor gasoline</t>
  </si>
  <si>
    <t>Motor gasoline (excluding biofuel portion)</t>
  </si>
  <si>
    <t>Gasoline-type jet fuel</t>
  </si>
  <si>
    <t>Kerosene-type jet fuel</t>
  </si>
  <si>
    <t>Kerosene-type jet fuel (excluding biofuel portion)</t>
  </si>
  <si>
    <t>Other kerosene</t>
  </si>
  <si>
    <t>Gas oil and diesel oil</t>
  </si>
  <si>
    <t>Gas oil and diesel oil (excluding biofuel portion)</t>
  </si>
  <si>
    <t>Road diesel</t>
  </si>
  <si>
    <t>Heating and other gasoil</t>
  </si>
  <si>
    <t>Fuel oil</t>
  </si>
  <si>
    <t>Fuel oil (low sulphur &lt;1%)</t>
  </si>
  <si>
    <t>Fuel oil (high sulphur &gt;=1%)</t>
  </si>
  <si>
    <t>White spirit and special boiling point industrial spirits</t>
  </si>
  <si>
    <t>Lubricants</t>
  </si>
  <si>
    <t>Paraffin waxes</t>
  </si>
  <si>
    <t>Petroleum coke</t>
  </si>
  <si>
    <t>Bitumen</t>
  </si>
  <si>
    <t>Other oil products n.e.c.</t>
  </si>
  <si>
    <t>Blended biogasoline</t>
  </si>
  <si>
    <t>Blended biodiesels</t>
  </si>
  <si>
    <t>Blended bio jet kerosene</t>
  </si>
  <si>
    <t>All other oil products (including non-specified output)</t>
  </si>
  <si>
    <t>Gross production of electricity and derived heat from non-combustible fuels by type of plant and operator</t>
  </si>
  <si>
    <t>Type of plant</t>
  </si>
  <si>
    <t>Total</t>
  </si>
  <si>
    <t>Operator/Trader</t>
  </si>
  <si>
    <t>Gross electricity production</t>
  </si>
  <si>
    <t>Gigawatt-hour</t>
  </si>
  <si>
    <t>Hydro</t>
  </si>
  <si>
    <t>Pure hydro power</t>
  </si>
  <si>
    <t>Run-of-river hydro power</t>
  </si>
  <si>
    <t>Mixed hydro power</t>
  </si>
  <si>
    <t>Mixed hydro power - pumping</t>
  </si>
  <si>
    <t>Pumped hydro power</t>
  </si>
  <si>
    <t>Geothermal</t>
  </si>
  <si>
    <t>Wind</t>
  </si>
  <si>
    <t>Wind on shore</t>
  </si>
  <si>
    <t>Wind off shore</t>
  </si>
  <si>
    <t>Solar thermal</t>
  </si>
  <si>
    <t>Solar photovoltaic</t>
  </si>
  <si>
    <t>Solar photovoltaic (&lt; 20 kW)</t>
  </si>
  <si>
    <t>Solar photovoltaic (20 kW - 1000 kW)</t>
  </si>
  <si>
    <t>Solar photovoltaic (1+ MW)</t>
  </si>
  <si>
    <t>Tide, wave, ocean</t>
  </si>
  <si>
    <t>Ambient heat (heat pumps)</t>
  </si>
  <si>
    <t>Nuclear fuels and other fuels n.e.c.</t>
  </si>
  <si>
    <t>Electricity</t>
  </si>
  <si>
    <t>Other fuels n.e.c. - heat from chemical sources</t>
  </si>
  <si>
    <t>Other fuels n.e.c.</t>
  </si>
  <si>
    <t>Gross heat production</t>
  </si>
  <si>
    <t>Terajoule</t>
  </si>
  <si>
    <t>Nuclear</t>
  </si>
  <si>
    <t>Gross production of electricity and derived heat from combustible fuels by type of plant and operator</t>
  </si>
  <si>
    <t>Other oil products</t>
  </si>
  <si>
    <t>Solid biofuels</t>
  </si>
  <si>
    <t>Pure biogasoline</t>
  </si>
  <si>
    <t>Pure biodiesels</t>
  </si>
  <si>
    <t>Other liquid biofuels</t>
  </si>
  <si>
    <t>Biogases</t>
  </si>
  <si>
    <t>Industrial waste (non-renewable)</t>
  </si>
  <si>
    <t>Renewable municipal waste</t>
  </si>
  <si>
    <t>Non-renewable municipal waste</t>
  </si>
  <si>
    <t>Heat from chemical sources</t>
  </si>
  <si>
    <t xml:space="preserve">     Pure hydro power</t>
  </si>
  <si>
    <t xml:space="preserve">     Mixed hydro power</t>
  </si>
  <si>
    <t xml:space="preserve">          Mixed hydro power - pumping</t>
  </si>
  <si>
    <t xml:space="preserve">     Pumped hydro power</t>
  </si>
  <si>
    <t>Renewables</t>
  </si>
  <si>
    <t>Fossil fuels</t>
  </si>
  <si>
    <t>Total (excluding pumped hydro)</t>
  </si>
  <si>
    <t>Other fuels (including non-specified)</t>
  </si>
  <si>
    <t>Hard coal domestic production</t>
  </si>
  <si>
    <t>Brown coal domestic production</t>
  </si>
  <si>
    <t>Standard international energy product classification (SIEC)</t>
  </si>
  <si>
    <t>Inland demand</t>
  </si>
  <si>
    <t>Transformation input - electricity and heat generation - energy use</t>
  </si>
  <si>
    <t>Energy sector - electricity and heat generation - energy use</t>
  </si>
  <si>
    <t>Distribution losses</t>
  </si>
  <si>
    <t>Available for final consumption</t>
  </si>
  <si>
    <t>Net heat production</t>
  </si>
  <si>
    <t>Heat</t>
  </si>
  <si>
    <t>Supply, transformation and consumption of derived heat</t>
  </si>
  <si>
    <t>Own use</t>
  </si>
  <si>
    <t>Used for electricity generation</t>
  </si>
  <si>
    <t>Transformation input - electricity and heat generation - electrically driven heat pumps</t>
  </si>
  <si>
    <t>Transformation input - electricity and heat generation - electric boilers</t>
  </si>
  <si>
    <t>Transformation input - electricity and heat generation - electricity for pumped storage - pure hydro plants</t>
  </si>
  <si>
    <t>Transformation input - electricity and heat generation - electricity for pumped storage - mixed plants</t>
  </si>
  <si>
    <t>Net electricity production</t>
  </si>
  <si>
    <t>Used for pumped storage - pure</t>
  </si>
  <si>
    <t>Electric boilers</t>
  </si>
  <si>
    <t>Electrically driven heat pumps</t>
  </si>
  <si>
    <t>Supply, transformation and consumption of electricity</t>
  </si>
  <si>
    <t>Supply, transformation and consumption of renewables and wastes</t>
  </si>
  <si>
    <t>Supply, transformation and consumption of renewables and wastes [NRG_CB_RW__custom_6658754]</t>
  </si>
  <si>
    <t>Primary solid biofuels</t>
  </si>
  <si>
    <t>Charcoal</t>
  </si>
  <si>
    <t>Pure bio jet kerosene</t>
  </si>
  <si>
    <t>Liquid biofuels [kt]</t>
  </si>
  <si>
    <t>Charcoal [kt]</t>
  </si>
  <si>
    <t>Primary solid biofuels [TJ]</t>
  </si>
  <si>
    <t>Wastes [TJ]</t>
  </si>
  <si>
    <t>TJ</t>
  </si>
  <si>
    <t>Biogasoline</t>
  </si>
  <si>
    <t>Biodiesels</t>
  </si>
  <si>
    <t>Bio jet kerosene</t>
  </si>
  <si>
    <t>Net imports (including coal products)</t>
  </si>
  <si>
    <t>Supply of gas in the grid, EU, TJ GCV</t>
  </si>
  <si>
    <t>Supply of oil and blended biofuels, EU, kt</t>
  </si>
  <si>
    <t>Supply of coal and coal products, EU, kt</t>
  </si>
  <si>
    <t>Electricity production in the EU, GWh</t>
  </si>
  <si>
    <t>Supply of fossil fuels and nuclear, EU, index 2005=100</t>
  </si>
  <si>
    <t>Table 1: Natural gas production, trade and supply in the EU</t>
  </si>
  <si>
    <t>Table 2: Inland consumption of solid fossil fuels and manufactured gases in the EU</t>
  </si>
  <si>
    <t>Table 3: Hard coal production, trade and supply in the EU</t>
  </si>
  <si>
    <t>Table 4: Brown coal production, trade and supply in the EU</t>
  </si>
  <si>
    <t>Table 5: Oil and petroleum products production, trade and supply in the EU</t>
  </si>
  <si>
    <t>Table 6: Refinery gross output in the EU, kt</t>
  </si>
  <si>
    <t>Table 7: Gross electricity production in the EU, GWh</t>
  </si>
  <si>
    <t>Table 8: Electricity production, trade and supply in the EU, GWh</t>
  </si>
  <si>
    <t>Table 9: Gross heat production in the EU, TJ</t>
  </si>
  <si>
    <t>Table 10: Heat production, trade and supply in the EU, TJ</t>
  </si>
  <si>
    <t>Table 11: Renewables production, trade and supply in the EU</t>
  </si>
  <si>
    <t>Table 12: Renewables inland consumption (calculated) in the EU</t>
  </si>
  <si>
    <t>2023</t>
  </si>
  <si>
    <t>:</t>
  </si>
  <si>
    <t>https://ec.europa.eu/eurostat/databrowser/bookmark/da69b178-3a1a-446b-a755-dee1c50c7a86?lang=en</t>
  </si>
  <si>
    <t>https://ec.europa.eu/eurostat/databrowser/view/NRG_CB_GAS__custom_11896525/default/table?lang=en</t>
  </si>
  <si>
    <t>https://ec.europa.eu/eurostat/databrowser/view/NRG_IND_PEHNF__custom_11896696/default/table?lang=en</t>
  </si>
  <si>
    <t>https://ec.europa.eu/eurostat/databrowser/view/NRG_IND_PEHCF__custom_11896838/default/table?lang=en</t>
  </si>
  <si>
    <t>https://ec.europa.eu/eurostat/databrowser/view/NRG_CB_E__custom_11897030/default/table?lang=en</t>
  </si>
  <si>
    <t xml:space="preserve">https://ec.europa.eu/eurostat/databrowser/view/NRG_CB_H__custom_11897622/default/table?lang=en </t>
  </si>
  <si>
    <t xml:space="preserve">  </t>
  </si>
  <si>
    <t>Supply, transformation and consumption of renewables and wastes [nrg_cb_rw__custom_11899354]</t>
  </si>
  <si>
    <r>
      <t>Source:</t>
    </r>
    <r>
      <rPr>
        <sz val="10"/>
        <color theme="1"/>
        <rFont val="Arial"/>
        <family val="2"/>
      </rPr>
      <t xml:space="preserve"> Eurostat (online data code: nrg_cb_gas)</t>
    </r>
  </si>
  <si>
    <r>
      <t>Source:</t>
    </r>
    <r>
      <rPr>
        <sz val="10"/>
        <color theme="1"/>
        <rFont val="Arial"/>
        <family val="2"/>
      </rPr>
      <t xml:space="preserve"> Eurostat (online data codes: nrg_cb_sff, nrg_cb_gas)</t>
    </r>
  </si>
  <si>
    <r>
      <t>Source:</t>
    </r>
    <r>
      <rPr>
        <sz val="10"/>
        <color theme="1"/>
        <rFont val="Arial"/>
        <family val="2"/>
      </rPr>
      <t xml:space="preserve"> Eurostat (online data code: nrg_cb_sff)</t>
    </r>
  </si>
  <si>
    <r>
      <t>Source:</t>
    </r>
    <r>
      <rPr>
        <sz val="10"/>
        <color theme="1"/>
        <rFont val="Arial"/>
        <family val="2"/>
      </rPr>
      <t xml:space="preserve"> Eurostat (online data codes: nrg_ind_pehcf, nrg_ind_pehnf)</t>
    </r>
  </si>
  <si>
    <r>
      <t>Source:</t>
    </r>
    <r>
      <rPr>
        <sz val="10"/>
        <color theme="1"/>
        <rFont val="Arial"/>
        <family val="2"/>
      </rPr>
      <t xml:space="preserve"> Eurostat (online data code: nrg_cb_rw)</t>
    </r>
  </si>
  <si>
    <r>
      <t>Source:</t>
    </r>
    <r>
      <rPr>
        <sz val="10"/>
        <color theme="1"/>
        <rFont val="Arial"/>
        <family val="2"/>
      </rPr>
      <t xml:space="preserve"> Eurostat (online data codes: nrg_cg_sff, nrg_cb_gas, nrg_cb_oil, nrg_ind_pehcf, nrg_ind_pehnf)</t>
    </r>
  </si>
  <si>
    <r>
      <t>Source:</t>
    </r>
    <r>
      <rPr>
        <sz val="10"/>
        <color theme="1"/>
        <rFont val="Arial"/>
        <family val="2"/>
      </rPr>
      <t xml:space="preserve"> Eurostat (online data code: nrg_cb_oil)</t>
    </r>
  </si>
  <si>
    <r>
      <t>Source:</t>
    </r>
    <r>
      <rPr>
        <sz val="10"/>
        <color theme="1"/>
        <rFont val="Arial"/>
        <family val="2"/>
      </rPr>
      <t xml:space="preserve"> Eurostat (online data code: nrg_cb_e)</t>
    </r>
  </si>
  <si>
    <r>
      <t>Source:</t>
    </r>
    <r>
      <rPr>
        <sz val="10"/>
        <color theme="1"/>
        <rFont val="Arial"/>
        <family val="2"/>
      </rPr>
      <t xml:space="preserve"> Eurostat (online data code: nrg_cb_h)</t>
    </r>
  </si>
  <si>
    <t>Supply, transformation and consumption of oil and petroleum products [nrg_cb_oil__custom_11906154]</t>
  </si>
  <si>
    <t>https://ec.europa.eu/eurostat/databrowser/view/NRG_CB_OIL__custom_11906154/default/table?lang=en</t>
  </si>
  <si>
    <t>Supply, transformation and consumption of oil and petroleum products [nrg_cb_oil__custom_11906162]</t>
  </si>
  <si>
    <t>https://ec.europa.eu/eurostat/databrowser/view/NRG_CB_OIL__custom_11906162/default/table?lang=en</t>
  </si>
  <si>
    <t>Supply, transformation and consumption of oil and petroleum products [nrg_cb_oil__custom_11906171]</t>
  </si>
  <si>
    <t>https://ec.europa.eu/eurostat/databrowser/view/NRG_CB_OIL__custom_11906171/default/table?lang=en</t>
  </si>
  <si>
    <t>absolute diff</t>
  </si>
  <si>
    <t>share</t>
  </si>
  <si>
    <t>absolute</t>
  </si>
  <si>
    <t>Wastes</t>
  </si>
  <si>
    <t>Supply, transformation and consumption of solid fossil fuels [nrg_cb_sff__custom_17247811]</t>
  </si>
  <si>
    <t>24/06/2025 23:00</t>
  </si>
  <si>
    <t>2024</t>
  </si>
  <si>
    <t>Supply, transformation and consumption of gas [nrg_cb_gas__custom_17248159]</t>
  </si>
  <si>
    <t>Data extracted on 25/06/2025 19:15:15 from [ESTAT]</t>
  </si>
  <si>
    <t>Data extracted on 25/06/2025 18:30:14 from [ESTAT]</t>
  </si>
  <si>
    <t>Solar photovoltaic (off grid)</t>
  </si>
  <si>
    <t>Gross production of electricity and derived heat from non-combustible fuels by type of plant and operator [nrg_ind_pehnf__custom_17248230]</t>
  </si>
  <si>
    <t>Data extracted on 25/06/2025 19:21:37 from [ESTAT]</t>
  </si>
  <si>
    <t>Gross production of electricity and derived heat from combustible fuels by type of plant and operator [nrg_ind_pehcf__custom_17248304]</t>
  </si>
  <si>
    <t>Data extracted on 25/06/2025 19:27:50 from [ESTAT]</t>
  </si>
  <si>
    <t>Data extracted on 24/06/2025 19:34:06 from [ESTAT]</t>
  </si>
  <si>
    <t>Supply, transformation and consumption of electricity [nrg_cb_e__custom_17248361]</t>
  </si>
  <si>
    <t>Gross production of electricity and derived heat from non-combustible fuels by type of plant and operator [nrg_ind_pehnf__custom_17248420]</t>
  </si>
  <si>
    <t>Data extracted on 25/06/2025 19:41:18 from [ESTAT]</t>
  </si>
  <si>
    <t>Data extracted on 24/06/2025 19:43:46 from [ESTAT]</t>
  </si>
  <si>
    <t>Gross production of electricity and derived heat from combustible fuels by type of plant and operator [nrg_ind_pehcf__custom_17248454]</t>
  </si>
  <si>
    <t>Supply, transformation and consumption of derived heat [nrg_cb_h__custom_17248473]</t>
  </si>
  <si>
    <t>Data extracted on 25/06/2025 19:46:54 from [ESTAT]</t>
  </si>
  <si>
    <t>Notes: Data extracted on 25 June 2025</t>
  </si>
  <si>
    <t>2024
preliminary</t>
  </si>
  <si>
    <t>23&gt;24</t>
  </si>
  <si>
    <t>19-21&gt;24</t>
  </si>
  <si>
    <t>compared to 2019</t>
  </si>
  <si>
    <t>Data extracted on 25/06/2025 13:38:55 from [ESTAT]</t>
  </si>
  <si>
    <t>Data extracted on 25/06/2025 17:49:34 from [ESTAT]</t>
  </si>
  <si>
    <t>19&gt;24</t>
  </si>
  <si>
    <t>Data extracted on 25/06/2025 13:27:20 from [ESTAT]</t>
  </si>
  <si>
    <t>Data extracted on 25/06/2025 13:31:16 from [ESTAT]</t>
  </si>
  <si>
    <t>Data extracted on 25/06/2025 13:46:06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</si>
</sst>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##########"/>
    <numFmt numFmtId="166" formatCode="#,##0.000"/>
    <numFmt numFmtId="167" formatCode="\+0.0%;\-0.0%;0%"/>
    <numFmt numFmtId="168" formatCode="_-* #,##0_-;\-* #,##0_-;_-* &quot;-&quot;??_-;_-@_-"/>
    <numFmt numFmtId="169" formatCode="0.0%"/>
  </numFmts>
  <fonts count="2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2"/>
      <color theme="1"/>
      <name val="Arial"/>
      <family val="2"/>
    </font>
    <font>
      <sz val="8"/>
      <name val="Calibri"/>
      <family val="2"/>
      <charset val="1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6"/>
      <name val="Arial"/>
      <family val="2"/>
    </font>
    <font>
      <b/>
      <sz val="10"/>
      <color theme="4"/>
      <name val="Arial"/>
      <family val="2"/>
    </font>
    <font>
      <b/>
      <sz val="10"/>
      <color theme="5"/>
      <name val="Arial"/>
      <family val="2"/>
    </font>
    <font>
      <sz val="10"/>
      <color theme="6"/>
      <name val="Arial"/>
      <family val="2"/>
    </font>
    <font>
      <i/>
      <sz val="10"/>
      <color theme="1"/>
      <name val="Arial"/>
      <family val="2"/>
    </font>
    <font>
      <b/>
      <sz val="10"/>
      <color theme="7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 style="hair">
        <color rgb="FFC0C0C0"/>
      </top>
      <bottom/>
      <diagonal/>
    </border>
    <border>
      <left/>
      <right/>
      <top/>
      <bottom style="hair">
        <color rgb="FFC0C0C0"/>
      </bottom>
      <diagonal/>
    </border>
    <border>
      <left/>
      <right/>
      <top style="hair">
        <color rgb="FFC0C0C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hair">
        <color rgb="FFC0C0C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6">
    <xf numFmtId="0" fontId="0" fillId="0" borderId="0" xfId="0"/>
    <xf numFmtId="0" fontId="3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6" fontId="5" fillId="0" borderId="0" xfId="0" applyNumberFormat="1" applyFont="1" applyAlignment="1">
      <alignment horizontal="right" vertical="center" shrinkToFit="1"/>
    </xf>
    <xf numFmtId="165" fontId="5" fillId="0" borderId="0" xfId="0" applyNumberFormat="1" applyFont="1" applyAlignment="1">
      <alignment horizontal="right" vertical="center" shrinkToFit="1"/>
    </xf>
    <xf numFmtId="165" fontId="5" fillId="6" borderId="0" xfId="0" applyNumberFormat="1" applyFont="1" applyFill="1" applyAlignment="1">
      <alignment horizontal="right" vertical="center" shrinkToFit="1"/>
    </xf>
    <xf numFmtId="166" fontId="5" fillId="6" borderId="0" xfId="0" applyNumberFormat="1" applyFont="1" applyFill="1" applyAlignment="1">
      <alignment horizontal="right" vertical="center" shrinkToFit="1"/>
    </xf>
    <xf numFmtId="3" fontId="5" fillId="6" borderId="0" xfId="0" applyNumberFormat="1" applyFont="1" applyFill="1" applyAlignment="1">
      <alignment horizontal="right" vertical="center" shrinkToFit="1"/>
    </xf>
    <xf numFmtId="3" fontId="5" fillId="0" borderId="0" xfId="0" applyNumberFormat="1" applyFont="1" applyAlignment="1">
      <alignment horizontal="right" vertical="center" shrinkToFit="1"/>
    </xf>
    <xf numFmtId="168" fontId="5" fillId="6" borderId="0" xfId="1" applyNumberFormat="1" applyFont="1" applyFill="1" applyAlignment="1">
      <alignment horizontal="right" vertical="center" shrinkToFit="1"/>
    </xf>
    <xf numFmtId="168" fontId="5" fillId="0" borderId="0" xfId="1" applyNumberFormat="1" applyFont="1" applyAlignment="1">
      <alignment horizontal="right" vertical="center" shrinkToFit="1"/>
    </xf>
    <xf numFmtId="0" fontId="8" fillId="0" borderId="0" xfId="3" applyFont="1"/>
    <xf numFmtId="0" fontId="9" fillId="0" borderId="0" xfId="0" applyFont="1"/>
    <xf numFmtId="0" fontId="9" fillId="4" borderId="0" xfId="0" applyFont="1" applyFill="1"/>
    <xf numFmtId="0" fontId="6" fillId="10" borderId="0" xfId="0" applyFont="1" applyFill="1" applyAlignment="1">
      <alignment horizontal="left" vertical="center"/>
    </xf>
    <xf numFmtId="0" fontId="10" fillId="10" borderId="0" xfId="0" applyFont="1" applyFill="1"/>
    <xf numFmtId="0" fontId="10" fillId="7" borderId="0" xfId="0" applyFont="1" applyFill="1" applyAlignment="1">
      <alignment horizontal="left" vertical="center"/>
    </xf>
    <xf numFmtId="0" fontId="10" fillId="8" borderId="2" xfId="0" applyFont="1" applyFill="1" applyBorder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left" vertical="center"/>
    </xf>
    <xf numFmtId="3" fontId="9" fillId="7" borderId="6" xfId="0" applyNumberFormat="1" applyFont="1" applyFill="1" applyBorder="1" applyAlignment="1">
      <alignment vertical="center"/>
    </xf>
    <xf numFmtId="167" fontId="12" fillId="7" borderId="0" xfId="2" applyNumberFormat="1" applyFont="1" applyFill="1" applyAlignment="1">
      <alignment horizontal="center" vertical="center"/>
    </xf>
    <xf numFmtId="167" fontId="13" fillId="7" borderId="0" xfId="2" applyNumberFormat="1" applyFont="1" applyFill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left" vertical="center"/>
    </xf>
    <xf numFmtId="3" fontId="9" fillId="7" borderId="7" xfId="0" applyNumberFormat="1" applyFont="1" applyFill="1" applyBorder="1" applyAlignment="1">
      <alignment vertical="center"/>
    </xf>
    <xf numFmtId="0" fontId="10" fillId="7" borderId="9" xfId="0" applyFont="1" applyFill="1" applyBorder="1" applyAlignment="1">
      <alignment horizontal="left" vertical="center"/>
    </xf>
    <xf numFmtId="3" fontId="9" fillId="7" borderId="9" xfId="0" applyNumberFormat="1" applyFont="1" applyFill="1" applyBorder="1" applyAlignment="1">
      <alignment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left" vertical="center"/>
    </xf>
    <xf numFmtId="3" fontId="9" fillId="7" borderId="8" xfId="0" applyNumberFormat="1" applyFont="1" applyFill="1" applyBorder="1" applyAlignment="1">
      <alignment vertical="center"/>
    </xf>
    <xf numFmtId="0" fontId="9" fillId="7" borderId="0" xfId="0" applyFont="1" applyFill="1" applyAlignment="1">
      <alignment horizontal="left"/>
    </xf>
    <xf numFmtId="0" fontId="14" fillId="7" borderId="0" xfId="0" applyFont="1" applyFill="1" applyAlignment="1">
      <alignment vertical="center"/>
    </xf>
    <xf numFmtId="0" fontId="15" fillId="7" borderId="0" xfId="0" applyFont="1" applyFill="1" applyAlignment="1"/>
    <xf numFmtId="0" fontId="10" fillId="7" borderId="10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left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left" vertical="center"/>
    </xf>
    <xf numFmtId="0" fontId="9" fillId="7" borderId="0" xfId="0" applyFont="1" applyFill="1"/>
    <xf numFmtId="3" fontId="9" fillId="7" borderId="0" xfId="0" applyNumberFormat="1" applyFont="1" applyFill="1" applyAlignment="1">
      <alignment vertical="center"/>
    </xf>
    <xf numFmtId="3" fontId="14" fillId="7" borderId="0" xfId="0" applyNumberFormat="1" applyFont="1" applyFill="1" applyAlignment="1">
      <alignment vertical="center"/>
    </xf>
    <xf numFmtId="0" fontId="10" fillId="8" borderId="2" xfId="0" applyFont="1" applyFill="1" applyBorder="1" applyAlignment="1">
      <alignment vertical="center"/>
    </xf>
    <xf numFmtId="0" fontId="10" fillId="7" borderId="2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left" vertical="center"/>
    </xf>
    <xf numFmtId="3" fontId="9" fillId="9" borderId="3" xfId="0" applyNumberFormat="1" applyFont="1" applyFill="1" applyBorder="1" applyAlignment="1">
      <alignment vertical="center"/>
    </xf>
    <xf numFmtId="3" fontId="9" fillId="7" borderId="10" xfId="0" applyNumberFormat="1" applyFont="1" applyFill="1" applyBorder="1" applyAlignment="1">
      <alignment vertical="center"/>
    </xf>
    <xf numFmtId="0" fontId="10" fillId="8" borderId="3" xfId="0" applyFont="1" applyFill="1" applyBorder="1" applyAlignment="1">
      <alignment horizontal="center" vertical="center"/>
    </xf>
    <xf numFmtId="169" fontId="9" fillId="7" borderId="0" xfId="2" applyNumberFormat="1" applyFont="1" applyFill="1" applyAlignment="1">
      <alignment vertical="center"/>
    </xf>
    <xf numFmtId="0" fontId="9" fillId="9" borderId="3" xfId="0" applyFont="1" applyFill="1" applyBorder="1" applyAlignment="1">
      <alignment vertical="center"/>
    </xf>
    <xf numFmtId="0" fontId="10" fillId="7" borderId="7" xfId="0" applyFont="1" applyFill="1" applyBorder="1" applyAlignment="1">
      <alignment horizontal="left"/>
    </xf>
    <xf numFmtId="0" fontId="16" fillId="7" borderId="4" xfId="0" applyFont="1" applyFill="1" applyBorder="1" applyAlignment="1">
      <alignment vertical="center"/>
    </xf>
    <xf numFmtId="3" fontId="16" fillId="7" borderId="4" xfId="0" applyNumberFormat="1" applyFont="1" applyFill="1" applyBorder="1" applyAlignment="1">
      <alignment vertical="center"/>
    </xf>
    <xf numFmtId="3" fontId="11" fillId="7" borderId="4" xfId="0" applyNumberFormat="1" applyFont="1" applyFill="1" applyBorder="1" applyAlignment="1">
      <alignment vertical="center"/>
    </xf>
    <xf numFmtId="3" fontId="9" fillId="7" borderId="0" xfId="0" applyNumberFormat="1" applyFont="1" applyFill="1" applyBorder="1" applyAlignment="1">
      <alignment vertical="center"/>
    </xf>
    <xf numFmtId="0" fontId="10" fillId="9" borderId="2" xfId="0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6" fillId="7" borderId="0" xfId="0" applyFont="1" applyFill="1" applyBorder="1" applyAlignment="1">
      <alignment vertical="center"/>
    </xf>
    <xf numFmtId="3" fontId="16" fillId="7" borderId="0" xfId="0" applyNumberFormat="1" applyFont="1" applyFill="1" applyBorder="1" applyAlignment="1">
      <alignment vertical="center"/>
    </xf>
    <xf numFmtId="3" fontId="11" fillId="7" borderId="0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left" vertical="center"/>
    </xf>
    <xf numFmtId="3" fontId="9" fillId="7" borderId="11" xfId="0" applyNumberFormat="1" applyFont="1" applyFill="1" applyBorder="1" applyAlignment="1">
      <alignment vertical="center"/>
    </xf>
    <xf numFmtId="0" fontId="15" fillId="7" borderId="0" xfId="0" applyFont="1" applyFill="1" applyAlignment="1">
      <alignment horizontal="right"/>
    </xf>
    <xf numFmtId="3" fontId="15" fillId="7" borderId="0" xfId="0" applyNumberFormat="1" applyFont="1" applyFill="1" applyAlignment="1">
      <alignment horizontal="right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right" vertical="center"/>
    </xf>
    <xf numFmtId="3" fontId="9" fillId="7" borderId="0" xfId="1" applyNumberFormat="1" applyFont="1" applyFill="1" applyAlignment="1">
      <alignment horizontal="right" vertical="center"/>
    </xf>
    <xf numFmtId="3" fontId="9" fillId="7" borderId="0" xfId="0" applyNumberFormat="1" applyFont="1" applyFill="1" applyAlignment="1">
      <alignment horizontal="right" vertical="center"/>
    </xf>
    <xf numFmtId="9" fontId="17" fillId="11" borderId="0" xfId="2" applyFont="1" applyFill="1" applyAlignment="1">
      <alignment horizontal="center" vertical="center"/>
    </xf>
    <xf numFmtId="164" fontId="9" fillId="7" borderId="0" xfId="1" applyFont="1" applyFill="1" applyAlignment="1">
      <alignment horizontal="right" vertical="center"/>
    </xf>
    <xf numFmtId="168" fontId="9" fillId="7" borderId="0" xfId="1" applyNumberFormat="1" applyFont="1" applyFill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0" fillId="4" borderId="0" xfId="0" applyFill="1"/>
    <xf numFmtId="0" fontId="19" fillId="5" borderId="1" xfId="0" applyFont="1" applyFill="1" applyBorder="1" applyAlignment="1">
      <alignment horizontal="left" vertical="center"/>
    </xf>
    <xf numFmtId="166" fontId="18" fillId="0" borderId="0" xfId="0" applyNumberFormat="1" applyFont="1" applyAlignment="1">
      <alignment horizontal="right" vertical="center" shrinkToFit="1"/>
    </xf>
    <xf numFmtId="165" fontId="18" fillId="0" borderId="0" xfId="0" applyNumberFormat="1" applyFont="1" applyAlignment="1">
      <alignment horizontal="right" vertical="center" shrinkToFit="1"/>
    </xf>
    <xf numFmtId="165" fontId="18" fillId="6" borderId="0" xfId="0" applyNumberFormat="1" applyFont="1" applyFill="1" applyAlignment="1">
      <alignment horizontal="right" vertical="center" shrinkToFit="1"/>
    </xf>
    <xf numFmtId="166" fontId="18" fillId="6" borderId="0" xfId="0" applyNumberFormat="1" applyFont="1" applyFill="1" applyAlignment="1">
      <alignment horizontal="right" vertical="center" shrinkToFit="1"/>
    </xf>
    <xf numFmtId="3" fontId="18" fillId="6" borderId="0" xfId="0" applyNumberFormat="1" applyFont="1" applyFill="1" applyAlignment="1">
      <alignment horizontal="right" vertical="center" shrinkToFit="1"/>
    </xf>
    <xf numFmtId="3" fontId="18" fillId="0" borderId="0" xfId="0" applyNumberFormat="1" applyFont="1" applyAlignment="1">
      <alignment horizontal="right" vertical="center" shrinkToFit="1"/>
    </xf>
    <xf numFmtId="0" fontId="2" fillId="0" borderId="0" xfId="3"/>
    <xf numFmtId="169" fontId="9" fillId="7" borderId="0" xfId="2" applyNumberFormat="1" applyFont="1" applyFill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/>
    </xf>
    <xf numFmtId="165" fontId="21" fillId="0" borderId="0" xfId="0" applyNumberFormat="1" applyFont="1" applyAlignment="1">
      <alignment horizontal="right" vertical="center" shrinkToFit="1"/>
    </xf>
    <xf numFmtId="166" fontId="21" fillId="0" borderId="0" xfId="0" applyNumberFormat="1" applyFont="1" applyAlignment="1">
      <alignment horizontal="right" vertical="center" shrinkToFit="1"/>
    </xf>
    <xf numFmtId="166" fontId="21" fillId="6" borderId="0" xfId="0" applyNumberFormat="1" applyFont="1" applyFill="1" applyAlignment="1">
      <alignment horizontal="right" vertical="center" shrinkToFit="1"/>
    </xf>
    <xf numFmtId="165" fontId="21" fillId="6" borderId="0" xfId="0" applyNumberFormat="1" applyFont="1" applyFill="1" applyAlignment="1">
      <alignment horizontal="right" vertical="center" shrinkToFit="1"/>
    </xf>
    <xf numFmtId="3" fontId="21" fillId="6" borderId="0" xfId="0" applyNumberFormat="1" applyFont="1" applyFill="1" applyAlignment="1">
      <alignment horizontal="right" vertical="center" shrinkToFit="1"/>
    </xf>
    <xf numFmtId="3" fontId="21" fillId="0" borderId="0" xfId="0" applyNumberFormat="1" applyFont="1" applyAlignment="1">
      <alignment horizontal="right" vertical="center" shrinkToFit="1"/>
    </xf>
    <xf numFmtId="0" fontId="23" fillId="2" borderId="1" xfId="0" applyFont="1" applyFill="1" applyBorder="1" applyAlignment="1">
      <alignment horizontal="right" vertical="center"/>
    </xf>
    <xf numFmtId="22" fontId="5" fillId="0" borderId="0" xfId="0" applyNumberFormat="1" applyFont="1" applyAlignment="1">
      <alignment horizontal="left" vertical="center"/>
    </xf>
    <xf numFmtId="22" fontId="18" fillId="0" borderId="0" xfId="0" applyNumberFormat="1" applyFont="1" applyAlignment="1">
      <alignment horizontal="left" vertical="center"/>
    </xf>
    <xf numFmtId="10" fontId="9" fillId="7" borderId="0" xfId="0" applyNumberFormat="1" applyFont="1" applyFill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3" fontId="5" fillId="7" borderId="0" xfId="0" applyNumberFormat="1" applyFont="1" applyFill="1" applyBorder="1" applyAlignment="1">
      <alignment vertical="center"/>
    </xf>
    <xf numFmtId="3" fontId="5" fillId="7" borderId="9" xfId="0" applyNumberFormat="1" applyFont="1" applyFill="1" applyBorder="1" applyAlignment="1">
      <alignment vertical="center"/>
    </xf>
    <xf numFmtId="3" fontId="5" fillId="7" borderId="11" xfId="0" applyNumberFormat="1" applyFont="1" applyFill="1" applyBorder="1" applyAlignment="1">
      <alignment vertical="center"/>
    </xf>
    <xf numFmtId="3" fontId="5" fillId="7" borderId="4" xfId="0" applyNumberFormat="1" applyFont="1" applyFill="1" applyBorder="1" applyAlignment="1">
      <alignment vertical="center"/>
    </xf>
    <xf numFmtId="0" fontId="6" fillId="8" borderId="2" xfId="0" applyFont="1" applyFill="1" applyBorder="1" applyAlignment="1">
      <alignment horizontal="center" vertical="center" wrapText="1"/>
    </xf>
    <xf numFmtId="3" fontId="5" fillId="7" borderId="13" xfId="0" applyNumberFormat="1" applyFont="1" applyFill="1" applyBorder="1" applyAlignment="1">
      <alignment vertical="center"/>
    </xf>
    <xf numFmtId="3" fontId="5" fillId="7" borderId="6" xfId="0" applyNumberFormat="1" applyFont="1" applyFill="1" applyBorder="1" applyAlignment="1">
      <alignment vertical="center"/>
    </xf>
    <xf numFmtId="3" fontId="5" fillId="7" borderId="7" xfId="0" applyNumberFormat="1" applyFont="1" applyFill="1" applyBorder="1" applyAlignment="1">
      <alignment vertical="center"/>
    </xf>
    <xf numFmtId="3" fontId="5" fillId="9" borderId="3" xfId="0" applyNumberFormat="1" applyFont="1" applyFill="1" applyBorder="1" applyAlignment="1">
      <alignment vertical="center"/>
    </xf>
    <xf numFmtId="3" fontId="5" fillId="7" borderId="10" xfId="0" applyNumberFormat="1" applyFont="1" applyFill="1" applyBorder="1" applyAlignment="1">
      <alignment vertical="center"/>
    </xf>
    <xf numFmtId="0" fontId="6" fillId="8" borderId="3" xfId="0" applyFont="1" applyFill="1" applyBorder="1" applyAlignment="1">
      <alignment horizontal="center" vertical="center" wrapText="1"/>
    </xf>
    <xf numFmtId="3" fontId="5" fillId="7" borderId="8" xfId="0" applyNumberFormat="1" applyFont="1" applyFill="1" applyBorder="1" applyAlignment="1">
      <alignment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hartsheet" Target="chartsheets/sheet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Supply of fossil fuels &amp; nuclear, EU, index 2005=100</a:t>
            </a:r>
          </a:p>
        </c:rich>
      </c:tx>
      <c:layout>
        <c:manualLayout>
          <c:xMode val="edge"/>
          <c:yMode val="edge"/>
          <c:x val="5.4644808743169399E-3"/>
          <c:y val="8.368200836820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962028312034767E-2"/>
          <c:y val="6.2133891213389122E-2"/>
          <c:w val="0.97000602383718426"/>
          <c:h val="0.86857740809229134"/>
        </c:manualLayout>
      </c:layout>
      <c:lineChart>
        <c:grouping val="standard"/>
        <c:varyColors val="0"/>
        <c:ser>
          <c:idx val="0"/>
          <c:order val="0"/>
          <c:tx>
            <c:strRef>
              <c:f>'DATA-CHARTS'!$A$8</c:f>
              <c:strCache>
                <c:ptCount val="1"/>
                <c:pt idx="0">
                  <c:v>Hard coal</c:v>
                </c:pt>
              </c:strCache>
            </c:strRef>
          </c:tx>
          <c:spPr>
            <a:ln w="28575" cap="rnd" cmpd="sng" algn="ctr">
              <a:solidFill>
                <a:srgbClr val="2644A7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7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2644A7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68C8-4680-8088-1A053F30D615}"/>
              </c:ext>
            </c:extLst>
          </c:dPt>
          <c:dPt>
            <c:idx val="18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  <a:prstDash val="solid"/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2644A7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A8-4179-8E34-BE008FA43E7F}"/>
              </c:ext>
            </c:extLst>
          </c:dPt>
          <c:dPt>
            <c:idx val="19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2644A7">
                    <a:lumMod val="100000"/>
                  </a:srgbClr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17-355C-4BC8-AA76-2B01C1DBD69A}"/>
              </c:ext>
            </c:extLst>
          </c:dPt>
          <c:cat>
            <c:strRef>
              <c:f>'DATA-CHARTS'!$B$7:$U$7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'DATA-CHARTS'!$B$8:$U$8</c:f>
              <c:numCache>
                <c:formatCode>_(* #\,##0.00_);_(* \(#\,##0.00\);_(* "-"??_);_(@_)</c:formatCode>
                <c:ptCount val="20"/>
                <c:pt idx="0">
                  <c:v>100</c:v>
                </c:pt>
                <c:pt idx="1">
                  <c:v>104.03395145457195</c:v>
                </c:pt>
                <c:pt idx="2">
                  <c:v>105.37458212755945</c:v>
                </c:pt>
                <c:pt idx="3">
                  <c:v>95.870797735635833</c:v>
                </c:pt>
                <c:pt idx="4">
                  <c:v>81.952577160231144</c:v>
                </c:pt>
                <c:pt idx="5">
                  <c:v>88.514017056164249</c:v>
                </c:pt>
                <c:pt idx="6">
                  <c:v>89.78933579677286</c:v>
                </c:pt>
                <c:pt idx="7">
                  <c:v>89.554384477963723</c:v>
                </c:pt>
                <c:pt idx="8">
                  <c:v>88.274112742753402</c:v>
                </c:pt>
                <c:pt idx="9">
                  <c:v>83.276121427067281</c:v>
                </c:pt>
                <c:pt idx="10">
                  <c:v>84.169737889806029</c:v>
                </c:pt>
                <c:pt idx="11">
                  <c:v>81.699898084229474</c:v>
                </c:pt>
                <c:pt idx="12">
                  <c:v>78.775851095906731</c:v>
                </c:pt>
                <c:pt idx="13">
                  <c:v>75.083232094883797</c:v>
                </c:pt>
                <c:pt idx="14">
                  <c:v>60.688095419787132</c:v>
                </c:pt>
                <c:pt idx="15">
                  <c:v>49.162721984490247</c:v>
                </c:pt>
                <c:pt idx="16">
                  <c:v>56.402929477093799</c:v>
                </c:pt>
                <c:pt idx="17">
                  <c:v>55.532908624565749</c:v>
                </c:pt>
                <c:pt idx="18">
                  <c:v>43.684205357644352</c:v>
                </c:pt>
                <c:pt idx="19">
                  <c:v>37.640808451424043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8-4680-8088-1A053F30D615}"/>
            </c:ext>
          </c:extLst>
        </c:ser>
        <c:ser>
          <c:idx val="1"/>
          <c:order val="1"/>
          <c:tx>
            <c:strRef>
              <c:f>'DATA-CHARTS'!$A$9</c:f>
              <c:strCache>
                <c:ptCount val="1"/>
                <c:pt idx="0">
                  <c:v>Brown coal</c:v>
                </c:pt>
              </c:strCache>
            </c:strRef>
          </c:tx>
          <c:spPr>
            <a:ln w="28575" cap="rnd" cmpd="sng" algn="ctr">
              <a:solidFill>
                <a:srgbClr val="B0912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ash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7"/>
            <c:marker>
              <c:symbol val="dash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B09120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68C8-4680-8088-1A053F30D615}"/>
              </c:ext>
            </c:extLst>
          </c:dPt>
          <c:dPt>
            <c:idx val="18"/>
            <c:marker>
              <c:symbol val="dash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prstDash val="solid"/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B09120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09A8-4179-8E34-BE008FA43E7F}"/>
              </c:ext>
            </c:extLst>
          </c:dPt>
          <c:dPt>
            <c:idx val="19"/>
            <c:marker>
              <c:symbol val="dash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B09120">
                    <a:lumMod val="100000"/>
                  </a:srgbClr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16-355C-4BC8-AA76-2B01C1DBD69A}"/>
              </c:ext>
            </c:extLst>
          </c:dPt>
          <c:cat>
            <c:strRef>
              <c:f>'DATA-CHARTS'!$B$7:$U$7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'DATA-CHARTS'!$B$9:$U$9</c:f>
              <c:numCache>
                <c:formatCode>_(* #\,##0.00_);_(* \(#\,##0.00\);_(* "-"??_);_(@_)</c:formatCode>
                <c:ptCount val="20"/>
                <c:pt idx="0">
                  <c:v>100.00000000000001</c:v>
                </c:pt>
                <c:pt idx="1">
                  <c:v>99.127383737781045</c:v>
                </c:pt>
                <c:pt idx="2">
                  <c:v>99.915579226712893</c:v>
                </c:pt>
                <c:pt idx="3">
                  <c:v>96.618690468998238</c:v>
                </c:pt>
                <c:pt idx="4">
                  <c:v>93.388827704252463</c:v>
                </c:pt>
                <c:pt idx="5">
                  <c:v>91.230145644382901</c:v>
                </c:pt>
                <c:pt idx="6">
                  <c:v>98.282602031962199</c:v>
                </c:pt>
                <c:pt idx="7">
                  <c:v>98.95464002515979</c:v>
                </c:pt>
                <c:pt idx="8">
                  <c:v>93.24881901542939</c:v>
                </c:pt>
                <c:pt idx="9">
                  <c:v>91.050736150838574</c:v>
                </c:pt>
                <c:pt idx="10">
                  <c:v>90.226895286578667</c:v>
                </c:pt>
                <c:pt idx="11">
                  <c:v>84.106800466158191</c:v>
                </c:pt>
                <c:pt idx="12">
                  <c:v>86.227220048793654</c:v>
                </c:pt>
                <c:pt idx="13">
                  <c:v>83.278028489802651</c:v>
                </c:pt>
                <c:pt idx="14">
                  <c:v>69.000999882796336</c:v>
                </c:pt>
                <c:pt idx="15">
                  <c:v>55.432149433154628</c:v>
                </c:pt>
                <c:pt idx="16">
                  <c:v>62.344597131910866</c:v>
                </c:pt>
                <c:pt idx="17">
                  <c:v>65.721520221170977</c:v>
                </c:pt>
                <c:pt idx="18">
                  <c:v>49.528074006685074</c:v>
                </c:pt>
                <c:pt idx="19">
                  <c:v>44.580675931972408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8-4680-8088-1A053F30D615}"/>
            </c:ext>
          </c:extLst>
        </c:ser>
        <c:ser>
          <c:idx val="2"/>
          <c:order val="2"/>
          <c:tx>
            <c:strRef>
              <c:f>'DATA-CHARTS'!$A$10</c:f>
              <c:strCache>
                <c:ptCount val="1"/>
                <c:pt idx="0">
                  <c:v>Natural gas</c:v>
                </c:pt>
              </c:strCache>
            </c:strRef>
          </c:tx>
          <c:spPr>
            <a:ln w="28575" cap="rnd" cmpd="sng" algn="ctr">
              <a:solidFill>
                <a:srgbClr val="E0404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dPt>
            <c:idx val="17"/>
            <c:marker>
              <c:symbol val="circle"/>
              <c:size val="5"/>
              <c:spPr>
                <a:noFill/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E04040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68C8-4680-8088-1A053F30D615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E04040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09A8-4179-8E34-BE008FA43E7F}"/>
              </c:ext>
            </c:extLst>
          </c:dPt>
          <c:dPt>
            <c:idx val="19"/>
            <c:marker>
              <c:symbol val="circle"/>
              <c:size val="5"/>
              <c:spPr>
                <a:noFill/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E04040">
                    <a:lumMod val="100000"/>
                  </a:srgbClr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355C-4BC8-AA76-2B01C1DBD69A}"/>
              </c:ext>
            </c:extLst>
          </c:dPt>
          <c:cat>
            <c:strRef>
              <c:f>'DATA-CHARTS'!$B$7:$U$7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'DATA-CHARTS'!$B$10:$U$10</c:f>
              <c:numCache>
                <c:formatCode>_(* #\,##0.00_);_(* \(#\,##0.00\);_(* "-"??_);_(@_)</c:formatCode>
                <c:ptCount val="20"/>
                <c:pt idx="0">
                  <c:v>100</c:v>
                </c:pt>
                <c:pt idx="1">
                  <c:v>99.416702922195313</c:v>
                </c:pt>
                <c:pt idx="2">
                  <c:v>98.149211628753321</c:v>
                </c:pt>
                <c:pt idx="3">
                  <c:v>99.899888458959779</c:v>
                </c:pt>
                <c:pt idx="4">
                  <c:v>93.884907169248251</c:v>
                </c:pt>
                <c:pt idx="5">
                  <c:v>100.87435878882451</c:v>
                </c:pt>
                <c:pt idx="6">
                  <c:v>92.72814990517854</c:v>
                </c:pt>
                <c:pt idx="7">
                  <c:v>90.890944368955147</c:v>
                </c:pt>
                <c:pt idx="8">
                  <c:v>89.329161163516943</c:v>
                </c:pt>
                <c:pt idx="9">
                  <c:v>78.811555107251763</c:v>
                </c:pt>
                <c:pt idx="10">
                  <c:v>82.316562420887095</c:v>
                </c:pt>
                <c:pt idx="11">
                  <c:v>87.1368217042845</c:v>
                </c:pt>
                <c:pt idx="12">
                  <c:v>92.05608236808294</c:v>
                </c:pt>
                <c:pt idx="13">
                  <c:v>90.374587942070562</c:v>
                </c:pt>
                <c:pt idx="14">
                  <c:v>93.269222712291338</c:v>
                </c:pt>
                <c:pt idx="15">
                  <c:v>91.01519004637359</c:v>
                </c:pt>
                <c:pt idx="16">
                  <c:v>94.72161605578863</c:v>
                </c:pt>
                <c:pt idx="17">
                  <c:v>82.502600910579005</c:v>
                </c:pt>
                <c:pt idx="18">
                  <c:v>76.474792015662274</c:v>
                </c:pt>
                <c:pt idx="19">
                  <c:v>76.717228736108851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C8-4680-8088-1A053F30D615}"/>
            </c:ext>
          </c:extLst>
        </c:ser>
        <c:ser>
          <c:idx val="3"/>
          <c:order val="3"/>
          <c:tx>
            <c:strRef>
              <c:f>'DATA-CHARTS'!$A$11</c:f>
              <c:strCache>
                <c:ptCount val="1"/>
                <c:pt idx="0">
                  <c:v>Petroleum products</c:v>
                </c:pt>
              </c:strCache>
            </c:strRef>
          </c:tx>
          <c:spPr>
            <a:ln w="28575" cap="rnd" cmpd="sng" algn="ctr">
              <a:solidFill>
                <a:srgbClr val="208486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7"/>
            <c:marker>
              <c:symbol val="triang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208486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68C8-4680-8088-1A053F30D615}"/>
              </c:ext>
            </c:extLst>
          </c:dPt>
          <c:dPt>
            <c:idx val="18"/>
            <c:marker>
              <c:symbol val="triang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208486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09A8-4179-8E34-BE008FA43E7F}"/>
              </c:ext>
            </c:extLst>
          </c:dPt>
          <c:dPt>
            <c:idx val="19"/>
            <c:marker>
              <c:symbol val="triang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208486">
                    <a:lumMod val="100000"/>
                  </a:srgbClr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1C-9132-499E-BD8E-E405F0F5765E}"/>
              </c:ext>
            </c:extLst>
          </c:dPt>
          <c:cat>
            <c:strRef>
              <c:f>'DATA-CHARTS'!$B$7:$U$7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'DATA-CHARTS'!$B$11:$U$11</c:f>
              <c:numCache>
                <c:formatCode>_(* #\,##0.00_);_(* \(#\,##0.00\);_(* "-"??_);_(@_)</c:formatCode>
                <c:ptCount val="20"/>
                <c:pt idx="0">
                  <c:v>100</c:v>
                </c:pt>
                <c:pt idx="1">
                  <c:v>100.15294214099292</c:v>
                </c:pt>
                <c:pt idx="2">
                  <c:v>97.537926210207175</c:v>
                </c:pt>
                <c:pt idx="3">
                  <c:v>98.081493740586993</c:v>
                </c:pt>
                <c:pt idx="4">
                  <c:v>93.263611850994181</c:v>
                </c:pt>
                <c:pt idx="5">
                  <c:v>93.214250912472082</c:v>
                </c:pt>
                <c:pt idx="6">
                  <c:v>90.927688289163925</c:v>
                </c:pt>
                <c:pt idx="7">
                  <c:v>87.470494198299789</c:v>
                </c:pt>
                <c:pt idx="8">
                  <c:v>84.708931890401956</c:v>
                </c:pt>
                <c:pt idx="9">
                  <c:v>84.578938783065311</c:v>
                </c:pt>
                <c:pt idx="10">
                  <c:v>85.910329040082161</c:v>
                </c:pt>
                <c:pt idx="11">
                  <c:v>86.47812507787738</c:v>
                </c:pt>
                <c:pt idx="12">
                  <c:v>89.301858754389045</c:v>
                </c:pt>
                <c:pt idx="13">
                  <c:v>88.682793890998724</c:v>
                </c:pt>
                <c:pt idx="14">
                  <c:v>88.746853887707744</c:v>
                </c:pt>
                <c:pt idx="15">
                  <c:v>77.731938478086903</c:v>
                </c:pt>
                <c:pt idx="16">
                  <c:v>81.261539014342446</c:v>
                </c:pt>
                <c:pt idx="17">
                  <c:v>83.017956009908914</c:v>
                </c:pt>
                <c:pt idx="18">
                  <c:v>81.966242845813554</c:v>
                </c:pt>
                <c:pt idx="19">
                  <c:v>80.96587803975882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C8-4680-8088-1A053F30D615}"/>
            </c:ext>
          </c:extLst>
        </c:ser>
        <c:ser>
          <c:idx val="4"/>
          <c:order val="4"/>
          <c:tx>
            <c:strRef>
              <c:f>'DATA-CHARTS'!$A$12</c:f>
              <c:strCache>
                <c:ptCount val="1"/>
                <c:pt idx="0">
                  <c:v>Nuclear</c:v>
                </c:pt>
              </c:strCache>
            </c:strRef>
          </c:tx>
          <c:spPr>
            <a:ln w="28575" cap="rnd" cmpd="sng" algn="ctr">
              <a:solidFill>
                <a:srgbClr val="388AE2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dPt>
            <c:idx val="17"/>
            <c:marker>
              <c:symbol val="x"/>
              <c:size val="5"/>
              <c:spPr>
                <a:noFill/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388AE2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68C8-4680-8088-1A053F30D615}"/>
              </c:ext>
            </c:extLst>
          </c:dPt>
          <c:dPt>
            <c:idx val="18"/>
            <c:marker>
              <c:symbol val="x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  <a:prstDash val="solid"/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388AE2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09A8-4179-8E34-BE008FA43E7F}"/>
              </c:ext>
            </c:extLst>
          </c:dPt>
          <c:dPt>
            <c:idx val="19"/>
            <c:marker>
              <c:symbol val="x"/>
              <c:size val="5"/>
              <c:spPr>
                <a:noFill/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388AE2">
                    <a:lumMod val="100000"/>
                  </a:srgbClr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355C-4BC8-AA76-2B01C1DBD69A}"/>
              </c:ext>
            </c:extLst>
          </c:dPt>
          <c:cat>
            <c:strRef>
              <c:f>'DATA-CHARTS'!$B$7:$U$7</c:f>
              <c:strCach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strCache>
            </c:strRef>
          </c:cat>
          <c:val>
            <c:numRef>
              <c:f>'DATA-CHARTS'!$B$12:$U$12</c:f>
              <c:numCache>
                <c:formatCode>_(* #\,##0.00_);_(* \(#\,##0.00\);_(* "-"??_);_(@_)</c:formatCode>
                <c:ptCount val="20"/>
                <c:pt idx="0">
                  <c:v>100</c:v>
                </c:pt>
                <c:pt idx="1">
                  <c:v>99.819339119575673</c:v>
                </c:pt>
                <c:pt idx="2">
                  <c:v>95.215270265402296</c:v>
                </c:pt>
                <c:pt idx="3">
                  <c:v>96.577595212650408</c:v>
                </c:pt>
                <c:pt idx="4">
                  <c:v>90.047932442655181</c:v>
                </c:pt>
                <c:pt idx="5">
                  <c:v>93.274503018837848</c:v>
                </c:pt>
                <c:pt idx="6">
                  <c:v>91.451385084943354</c:v>
                </c:pt>
                <c:pt idx="7">
                  <c:v>88.634194683657896</c:v>
                </c:pt>
                <c:pt idx="8">
                  <c:v>88.007793088165784</c:v>
                </c:pt>
                <c:pt idx="9">
                  <c:v>88.698489434886213</c:v>
                </c:pt>
                <c:pt idx="10">
                  <c:v>85.874049238004076</c:v>
                </c:pt>
                <c:pt idx="11">
                  <c:v>83.830879583792267</c:v>
                </c:pt>
                <c:pt idx="12">
                  <c:v>82.894705053374096</c:v>
                </c:pt>
                <c:pt idx="13">
                  <c:v>83.17420053466887</c:v>
                </c:pt>
                <c:pt idx="14">
                  <c:v>83.544779992162276</c:v>
                </c:pt>
                <c:pt idx="15">
                  <c:v>74.612631961584185</c:v>
                </c:pt>
                <c:pt idx="16">
                  <c:v>79.872936235987865</c:v>
                </c:pt>
                <c:pt idx="17">
                  <c:v>66.506727680194217</c:v>
                </c:pt>
                <c:pt idx="18">
                  <c:v>67.636083599594357</c:v>
                </c:pt>
                <c:pt idx="19">
                  <c:v>70.873957870537637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C8-4680-8088-1A053F30D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681920"/>
        <c:axId val="569671752"/>
      </c:lineChart>
      <c:catAx>
        <c:axId val="5696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9671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69671752"/>
        <c:scaling>
          <c:orientation val="minMax"/>
          <c:max val="107"/>
          <c:min val="3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968192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182005937782381E-2"/>
          <c:y val="0.92804203867821966"/>
          <c:w val="0.75755948539219486"/>
          <c:h val="4.0326162158600472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Supply of gas in the grid, EU, TJ GCV</a:t>
            </a:r>
          </a:p>
        </c:rich>
      </c:tx>
      <c:layout>
        <c:manualLayout>
          <c:xMode val="edge"/>
          <c:yMode val="edge"/>
          <c:x val="5.4644808743169399E-3"/>
          <c:y val="8.368200836820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944064369003056E-2"/>
          <c:y val="6.2133891213389122E-2"/>
          <c:w val="0.957755905511811"/>
          <c:h val="0.86857740809229134"/>
        </c:manualLayout>
      </c:layout>
      <c:areaChart>
        <c:grouping val="stacked"/>
        <c:varyColors val="0"/>
        <c:ser>
          <c:idx val="0"/>
          <c:order val="0"/>
          <c:tx>
            <c:strRef>
              <c:f>'DATA-CHARTS'!$A$2</c:f>
              <c:strCache>
                <c:ptCount val="1"/>
                <c:pt idx="0">
                  <c:v>Natural gas domestic production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chemeClr val="bg2"/>
              </a:solidFill>
            </a:ln>
            <a:effectLst/>
          </c:spPr>
          <c:cat>
            <c:strRef>
              <c:f>'DATA-CHARTS'!$B$1:$AJ$1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'DATA-CHARTS'!$B$2:$AJ$2</c:f>
              <c:numCache>
                <c:formatCode>#,##0</c:formatCode>
                <c:ptCount val="35"/>
                <c:pt idx="0">
                  <c:v>5725098</c:v>
                </c:pt>
                <c:pt idx="1">
                  <c:v>5979866</c:v>
                </c:pt>
                <c:pt idx="2">
                  <c:v>5898039</c:v>
                </c:pt>
                <c:pt idx="3">
                  <c:v>6029503</c:v>
                </c:pt>
                <c:pt idx="4">
                  <c:v>5822606</c:v>
                </c:pt>
                <c:pt idx="5">
                  <c:v>5920883</c:v>
                </c:pt>
                <c:pt idx="6">
                  <c:v>6328682</c:v>
                </c:pt>
                <c:pt idx="7">
                  <c:v>5846591</c:v>
                </c:pt>
                <c:pt idx="8">
                  <c:v>5584535</c:v>
                </c:pt>
                <c:pt idx="9">
                  <c:v>5354811</c:v>
                </c:pt>
                <c:pt idx="10">
                  <c:v>5220993</c:v>
                </c:pt>
                <c:pt idx="11">
                  <c:v>5323894.2</c:v>
                </c:pt>
                <c:pt idx="12">
                  <c:v>5254446</c:v>
                </c:pt>
                <c:pt idx="13">
                  <c:v>5063205</c:v>
                </c:pt>
                <c:pt idx="14">
                  <c:v>5489832</c:v>
                </c:pt>
                <c:pt idx="15">
                  <c:v>5169244.7929999996</c:v>
                </c:pt>
                <c:pt idx="16">
                  <c:v>5139797.0920000002</c:v>
                </c:pt>
                <c:pt idx="17">
                  <c:v>4892409.5140000004</c:v>
                </c:pt>
                <c:pt idx="18">
                  <c:v>5139129.7740000002</c:v>
                </c:pt>
                <c:pt idx="19">
                  <c:v>4800481.7429999998</c:v>
                </c:pt>
                <c:pt idx="20">
                  <c:v>5094121.4479999999</c:v>
                </c:pt>
                <c:pt idx="21">
                  <c:v>4785671.8150000004</c:v>
                </c:pt>
                <c:pt idx="22">
                  <c:v>4624287.4309999999</c:v>
                </c:pt>
                <c:pt idx="23">
                  <c:v>4626963.9840000002</c:v>
                </c:pt>
                <c:pt idx="24">
                  <c:v>3994521.1540000001</c:v>
                </c:pt>
                <c:pt idx="25">
                  <c:v>3367206.4109999998</c:v>
                </c:pt>
                <c:pt idx="26">
                  <c:v>3323484.372</c:v>
                </c:pt>
                <c:pt idx="27">
                  <c:v>3094574.7039999999</c:v>
                </c:pt>
                <c:pt idx="28">
                  <c:v>2756147.088</c:v>
                </c:pt>
                <c:pt idx="29">
                  <c:v>2423437.6680000001</c:v>
                </c:pt>
                <c:pt idx="30">
                  <c:v>1914793.959</c:v>
                </c:pt>
                <c:pt idx="31">
                  <c:v>1761550.284</c:v>
                </c:pt>
                <c:pt idx="32">
                  <c:v>1620697.497</c:v>
                </c:pt>
                <c:pt idx="33">
                  <c:v>1361966.077</c:v>
                </c:pt>
                <c:pt idx="34">
                  <c:v>1293679.9310000001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1-4FAD-B8C6-45D325D86E81}"/>
            </c:ext>
          </c:extLst>
        </c:ser>
        <c:ser>
          <c:idx val="1"/>
          <c:order val="1"/>
          <c:tx>
            <c:strRef>
              <c:f>'DATA-CHARTS'!$A$3</c:f>
              <c:strCache>
                <c:ptCount val="1"/>
                <c:pt idx="0">
                  <c:v>Natural gas net imports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2">
                  <a:alpha val="83000"/>
                </a:schemeClr>
              </a:solidFill>
            </a:ln>
            <a:effectLst/>
          </c:spPr>
          <c:cat>
            <c:strRef>
              <c:f>'DATA-CHARTS'!$B$1:$AJ$1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'DATA-CHARTS'!$B$3:$AJ$3</c:f>
              <c:numCache>
                <c:formatCode>#,##0</c:formatCode>
                <c:ptCount val="35"/>
                <c:pt idx="0">
                  <c:v>6024006</c:v>
                </c:pt>
                <c:pt idx="1">
                  <c:v>5930150</c:v>
                </c:pt>
                <c:pt idx="2">
                  <c:v>5830842</c:v>
                </c:pt>
                <c:pt idx="3">
                  <c:v>5707727</c:v>
                </c:pt>
                <c:pt idx="4">
                  <c:v>5953135</c:v>
                </c:pt>
                <c:pt idx="5">
                  <c:v>6742239</c:v>
                </c:pt>
                <c:pt idx="6">
                  <c:v>7435060</c:v>
                </c:pt>
                <c:pt idx="7">
                  <c:v>7628410</c:v>
                </c:pt>
                <c:pt idx="8">
                  <c:v>7994051</c:v>
                </c:pt>
                <c:pt idx="9">
                  <c:v>8823126</c:v>
                </c:pt>
                <c:pt idx="10">
                  <c:v>9434844.0069999993</c:v>
                </c:pt>
                <c:pt idx="11">
                  <c:v>9294194.3999999985</c:v>
                </c:pt>
                <c:pt idx="12">
                  <c:v>9989944</c:v>
                </c:pt>
                <c:pt idx="13">
                  <c:v>10608428</c:v>
                </c:pt>
                <c:pt idx="14">
                  <c:v>10792924</c:v>
                </c:pt>
                <c:pt idx="15">
                  <c:v>11541838.289999999</c:v>
                </c:pt>
                <c:pt idx="16">
                  <c:v>11900122.001</c:v>
                </c:pt>
                <c:pt idx="17">
                  <c:v>11274964.971000001</c:v>
                </c:pt>
                <c:pt idx="18">
                  <c:v>11720205.141000001</c:v>
                </c:pt>
                <c:pt idx="19">
                  <c:v>11100969.709000001</c:v>
                </c:pt>
                <c:pt idx="20">
                  <c:v>11435403.630000001</c:v>
                </c:pt>
                <c:pt idx="21">
                  <c:v>11110480.927000001</c:v>
                </c:pt>
                <c:pt idx="22">
                  <c:v>10544594.892999999</c:v>
                </c:pt>
                <c:pt idx="23">
                  <c:v>10206049.427999999</c:v>
                </c:pt>
                <c:pt idx="24">
                  <c:v>9482961.2600000016</c:v>
                </c:pt>
                <c:pt idx="25">
                  <c:v>10258242.981000001</c:v>
                </c:pt>
                <c:pt idx="26">
                  <c:v>11031711.392999999</c:v>
                </c:pt>
                <c:pt idx="27">
                  <c:v>12341636.199999999</c:v>
                </c:pt>
                <c:pt idx="28">
                  <c:v>12578838.768999999</c:v>
                </c:pt>
                <c:pt idx="29">
                  <c:v>13978073.950999999</c:v>
                </c:pt>
                <c:pt idx="30">
                  <c:v>12705233.846999999</c:v>
                </c:pt>
                <c:pt idx="31">
                  <c:v>13200085.323000001</c:v>
                </c:pt>
                <c:pt idx="32">
                  <c:v>13360173.515999999</c:v>
                </c:pt>
                <c:pt idx="33">
                  <c:v>11424911.988</c:v>
                </c:pt>
                <c:pt idx="34">
                  <c:v>10848297.071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1-4FAD-B8C6-45D325D86E81}"/>
            </c:ext>
          </c:extLst>
        </c:ser>
        <c:ser>
          <c:idx val="2"/>
          <c:order val="2"/>
          <c:tx>
            <c:strRef>
              <c:f>'DATA-CHARTS'!$A$4</c:f>
              <c:strCache>
                <c:ptCount val="1"/>
                <c:pt idx="0">
                  <c:v>Biogas injected in the grid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bg1"/>
              </a:solidFill>
            </a:ln>
            <a:effectLst/>
          </c:spPr>
          <c:cat>
            <c:strRef>
              <c:f>'DATA-CHARTS'!$B$1:$AJ$1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'DATA-CHARTS'!$B$4:$AJ$4</c:f>
              <c:numCache>
                <c:formatCode>#,##0</c:formatCode>
                <c:ptCount val="35"/>
                <c:pt idx="0">
                  <c:v>112</c:v>
                </c:pt>
                <c:pt idx="1">
                  <c:v>190</c:v>
                </c:pt>
                <c:pt idx="2">
                  <c:v>540</c:v>
                </c:pt>
                <c:pt idx="3">
                  <c:v>513</c:v>
                </c:pt>
                <c:pt idx="4">
                  <c:v>452</c:v>
                </c:pt>
                <c:pt idx="5">
                  <c:v>443</c:v>
                </c:pt>
                <c:pt idx="6">
                  <c:v>436</c:v>
                </c:pt>
                <c:pt idx="7">
                  <c:v>418</c:v>
                </c:pt>
                <c:pt idx="8">
                  <c:v>472</c:v>
                </c:pt>
                <c:pt idx="9">
                  <c:v>570</c:v>
                </c:pt>
                <c:pt idx="10">
                  <c:v>610</c:v>
                </c:pt>
                <c:pt idx="11">
                  <c:v>536</c:v>
                </c:pt>
                <c:pt idx="12">
                  <c:v>460</c:v>
                </c:pt>
                <c:pt idx="13">
                  <c:v>351</c:v>
                </c:pt>
                <c:pt idx="14">
                  <c:v>484</c:v>
                </c:pt>
                <c:pt idx="15">
                  <c:v>496</c:v>
                </c:pt>
                <c:pt idx="16">
                  <c:v>998</c:v>
                </c:pt>
                <c:pt idx="17">
                  <c:v>1300</c:v>
                </c:pt>
                <c:pt idx="18">
                  <c:v>1722</c:v>
                </c:pt>
                <c:pt idx="19">
                  <c:v>1712</c:v>
                </c:pt>
                <c:pt idx="20">
                  <c:v>1443</c:v>
                </c:pt>
                <c:pt idx="21">
                  <c:v>2253.5509999999999</c:v>
                </c:pt>
                <c:pt idx="22">
                  <c:v>3355.59</c:v>
                </c:pt>
                <c:pt idx="23">
                  <c:v>4632.1220000000003</c:v>
                </c:pt>
                <c:pt idx="24">
                  <c:v>6044.9809999999998</c:v>
                </c:pt>
                <c:pt idx="25">
                  <c:v>6148.5110000000004</c:v>
                </c:pt>
                <c:pt idx="26">
                  <c:v>9315.1810000000005</c:v>
                </c:pt>
                <c:pt idx="27">
                  <c:v>13640.647999999999</c:v>
                </c:pt>
                <c:pt idx="28">
                  <c:v>17939.226999999999</c:v>
                </c:pt>
                <c:pt idx="29">
                  <c:v>25399.144</c:v>
                </c:pt>
                <c:pt idx="30">
                  <c:v>38526.519999999997</c:v>
                </c:pt>
                <c:pt idx="31">
                  <c:v>94350.95</c:v>
                </c:pt>
                <c:pt idx="32">
                  <c:v>113138.928</c:v>
                </c:pt>
                <c:pt idx="33">
                  <c:v>132387.20499999999</c:v>
                </c:pt>
                <c:pt idx="34">
                  <c:v>148226.978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61-4FAD-B8C6-45D325D86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81920"/>
        <c:axId val="569671752"/>
      </c:areaChart>
      <c:catAx>
        <c:axId val="5696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967175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56967175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968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603093670668222E-2"/>
          <c:y val="0.93222613909662966"/>
          <c:w val="0.76288369691493485"/>
          <c:h val="3.8006292623463903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Supply of coal and coal products, EU, kt</a:t>
            </a:r>
          </a:p>
        </c:rich>
      </c:tx>
      <c:layout>
        <c:manualLayout>
          <c:xMode val="edge"/>
          <c:yMode val="edge"/>
          <c:x val="5.4644808743169399E-3"/>
          <c:y val="8.368200836820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888881717654146E-2"/>
          <c:y val="6.2133891213389122E-2"/>
          <c:w val="0.95784637063809652"/>
          <c:h val="0.86857740809229134"/>
        </c:manualLayout>
      </c:layout>
      <c:areaChart>
        <c:grouping val="stacked"/>
        <c:varyColors val="0"/>
        <c:ser>
          <c:idx val="0"/>
          <c:order val="0"/>
          <c:tx>
            <c:strRef>
              <c:f>'DATA-CHARTS'!$A$39</c:f>
              <c:strCache>
                <c:ptCount val="1"/>
                <c:pt idx="0">
                  <c:v>Hard coal domestic production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'DATA-CHARTS'!$B$38:$AJ$38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'DATA-CHARTS'!$B$39:$AJ$39</c:f>
              <c:numCache>
                <c:formatCode>_-* #\,##0_-;\-* #\,##0_-;_-* "-"??_-;_-@_-</c:formatCode>
                <c:ptCount val="35"/>
                <c:pt idx="0">
                  <c:v>277420.505</c:v>
                </c:pt>
                <c:pt idx="1">
                  <c:v>261036.997</c:v>
                </c:pt>
                <c:pt idx="2">
                  <c:v>251049.274</c:v>
                </c:pt>
                <c:pt idx="3">
                  <c:v>236744.6</c:v>
                </c:pt>
                <c:pt idx="4">
                  <c:v>231356.20499999999</c:v>
                </c:pt>
                <c:pt idx="5">
                  <c:v>233296.2</c:v>
                </c:pt>
                <c:pt idx="6">
                  <c:v>227824.4</c:v>
                </c:pt>
                <c:pt idx="7">
                  <c:v>224534.5</c:v>
                </c:pt>
                <c:pt idx="8">
                  <c:v>194246.8</c:v>
                </c:pt>
                <c:pt idx="9">
                  <c:v>184048.3</c:v>
                </c:pt>
                <c:pt idx="10">
                  <c:v>169332</c:v>
                </c:pt>
                <c:pt idx="11">
                  <c:v>161885</c:v>
                </c:pt>
                <c:pt idx="12">
                  <c:v>157904</c:v>
                </c:pt>
                <c:pt idx="13">
                  <c:v>155503</c:v>
                </c:pt>
                <c:pt idx="14">
                  <c:v>152173</c:v>
                </c:pt>
                <c:pt idx="15">
                  <c:v>147034</c:v>
                </c:pt>
                <c:pt idx="16">
                  <c:v>139955</c:v>
                </c:pt>
                <c:pt idx="17">
                  <c:v>132551</c:v>
                </c:pt>
                <c:pt idx="18">
                  <c:v>122939</c:v>
                </c:pt>
                <c:pt idx="19">
                  <c:v>110512</c:v>
                </c:pt>
                <c:pt idx="20">
                  <c:v>107816</c:v>
                </c:pt>
                <c:pt idx="21">
                  <c:v>104259</c:v>
                </c:pt>
                <c:pt idx="22">
                  <c:v>106230</c:v>
                </c:pt>
                <c:pt idx="23">
                  <c:v>95941</c:v>
                </c:pt>
                <c:pt idx="24">
                  <c:v>92315</c:v>
                </c:pt>
                <c:pt idx="25">
                  <c:v>88889</c:v>
                </c:pt>
                <c:pt idx="26">
                  <c:v>82318</c:v>
                </c:pt>
                <c:pt idx="27">
                  <c:v>75892.292000000001</c:v>
                </c:pt>
                <c:pt idx="28">
                  <c:v>71297.092999999993</c:v>
                </c:pt>
                <c:pt idx="29">
                  <c:v>65055.502999999997</c:v>
                </c:pt>
                <c:pt idx="30">
                  <c:v>56531.347000000002</c:v>
                </c:pt>
                <c:pt idx="31">
                  <c:v>57185.258999999998</c:v>
                </c:pt>
                <c:pt idx="32">
                  <c:v>54512.514999999999</c:v>
                </c:pt>
                <c:pt idx="33">
                  <c:v>49721.788999999997</c:v>
                </c:pt>
                <c:pt idx="34">
                  <c:v>45295.836000000003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C-462A-8F37-4099D607234F}"/>
            </c:ext>
          </c:extLst>
        </c:ser>
        <c:ser>
          <c:idx val="1"/>
          <c:order val="1"/>
          <c:tx>
            <c:strRef>
              <c:f>'DATA-CHARTS'!$A$40</c:f>
              <c:strCache>
                <c:ptCount val="1"/>
                <c:pt idx="0">
                  <c:v>Brown coal domestic production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2">
                  <a:alpha val="80000"/>
                </a:schemeClr>
              </a:solidFill>
            </a:ln>
            <a:effectLst/>
          </c:spPr>
          <c:cat>
            <c:strRef>
              <c:f>'DATA-CHARTS'!$B$38:$AJ$38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'DATA-CHARTS'!$B$40:$AJ$40</c:f>
              <c:numCache>
                <c:formatCode>_-* #\,##0_-;\-* #\,##0_-;_-* "-"??_-;_-@_-</c:formatCode>
                <c:ptCount val="35"/>
                <c:pt idx="0">
                  <c:v>676316.24699999997</c:v>
                </c:pt>
                <c:pt idx="1">
                  <c:v>586481.80000000005</c:v>
                </c:pt>
                <c:pt idx="2">
                  <c:v>543955</c:v>
                </c:pt>
                <c:pt idx="3">
                  <c:v>524051.5</c:v>
                </c:pt>
                <c:pt idx="4">
                  <c:v>499214</c:v>
                </c:pt>
                <c:pt idx="5">
                  <c:v>483626</c:v>
                </c:pt>
                <c:pt idx="6">
                  <c:v>482844.9</c:v>
                </c:pt>
                <c:pt idx="7">
                  <c:v>459262</c:v>
                </c:pt>
                <c:pt idx="8">
                  <c:v>436445</c:v>
                </c:pt>
                <c:pt idx="9">
                  <c:v>414100</c:v>
                </c:pt>
                <c:pt idx="10">
                  <c:v>432561</c:v>
                </c:pt>
                <c:pt idx="11">
                  <c:v>447120</c:v>
                </c:pt>
                <c:pt idx="12">
                  <c:v>450629</c:v>
                </c:pt>
                <c:pt idx="13">
                  <c:v>452411</c:v>
                </c:pt>
                <c:pt idx="14">
                  <c:v>450720</c:v>
                </c:pt>
                <c:pt idx="15">
                  <c:v>441059</c:v>
                </c:pt>
                <c:pt idx="16">
                  <c:v>438813</c:v>
                </c:pt>
                <c:pt idx="17">
                  <c:v>443958</c:v>
                </c:pt>
                <c:pt idx="18">
                  <c:v>432067</c:v>
                </c:pt>
                <c:pt idx="19">
                  <c:v>416864</c:v>
                </c:pt>
                <c:pt idx="20">
                  <c:v>405078</c:v>
                </c:pt>
                <c:pt idx="21">
                  <c:v>436061</c:v>
                </c:pt>
                <c:pt idx="22">
                  <c:v>441689</c:v>
                </c:pt>
                <c:pt idx="23">
                  <c:v>413803</c:v>
                </c:pt>
                <c:pt idx="24">
                  <c:v>401987</c:v>
                </c:pt>
                <c:pt idx="25">
                  <c:v>402581</c:v>
                </c:pt>
                <c:pt idx="26">
                  <c:v>372312</c:v>
                </c:pt>
                <c:pt idx="27">
                  <c:v>384491.29300000001</c:v>
                </c:pt>
                <c:pt idx="28">
                  <c:v>368665.16499999998</c:v>
                </c:pt>
                <c:pt idx="29">
                  <c:v>307597.027</c:v>
                </c:pt>
                <c:pt idx="30">
                  <c:v>244456.87899999999</c:v>
                </c:pt>
                <c:pt idx="31">
                  <c:v>274986.12900000002</c:v>
                </c:pt>
                <c:pt idx="32">
                  <c:v>294932.114</c:v>
                </c:pt>
                <c:pt idx="33">
                  <c:v>224909.41399999999</c:v>
                </c:pt>
                <c:pt idx="34">
                  <c:v>196556.32800000001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C-462A-8F37-4099D607234F}"/>
            </c:ext>
          </c:extLst>
        </c:ser>
        <c:ser>
          <c:idx val="2"/>
          <c:order val="2"/>
          <c:tx>
            <c:strRef>
              <c:f>'DATA-CHARTS'!$A$41</c:f>
              <c:strCache>
                <c:ptCount val="1"/>
                <c:pt idx="0">
                  <c:v>Net imports (including coal products)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bg1"/>
              </a:solidFill>
            </a:ln>
            <a:effectLst/>
          </c:spPr>
          <c:cat>
            <c:strRef>
              <c:f>'DATA-CHARTS'!$B$38:$AJ$38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'DATA-CHARTS'!$B$41:$AJ$41</c:f>
              <c:numCache>
                <c:formatCode>_-* #\,##0_-;\-* #\,##0_-;_-* "-"??_-;_-@_-</c:formatCode>
                <c:ptCount val="35"/>
                <c:pt idx="0">
                  <c:v>112073.049</c:v>
                </c:pt>
                <c:pt idx="1">
                  <c:v>121967.394</c:v>
                </c:pt>
                <c:pt idx="2">
                  <c:v>120109.81899999999</c:v>
                </c:pt>
                <c:pt idx="3">
                  <c:v>98775.499000000011</c:v>
                </c:pt>
                <c:pt idx="4">
                  <c:v>99121.883000000002</c:v>
                </c:pt>
                <c:pt idx="5">
                  <c:v>104537.272</c:v>
                </c:pt>
                <c:pt idx="6">
                  <c:v>110943.965</c:v>
                </c:pt>
                <c:pt idx="7">
                  <c:v>111785.36499999999</c:v>
                </c:pt>
                <c:pt idx="8">
                  <c:v>115346.674</c:v>
                </c:pt>
                <c:pt idx="9">
                  <c:v>114828.288</c:v>
                </c:pt>
                <c:pt idx="10">
                  <c:v>131209.31700000001</c:v>
                </c:pt>
                <c:pt idx="11">
                  <c:v>137032.753</c:v>
                </c:pt>
                <c:pt idx="12">
                  <c:v>139978.25599999999</c:v>
                </c:pt>
                <c:pt idx="13">
                  <c:v>150052.117</c:v>
                </c:pt>
                <c:pt idx="14">
                  <c:v>161482.93599999999</c:v>
                </c:pt>
                <c:pt idx="15">
                  <c:v>153114.46100000001</c:v>
                </c:pt>
                <c:pt idx="16">
                  <c:v>165747.63699999999</c:v>
                </c:pt>
                <c:pt idx="17">
                  <c:v>173231.10800000001</c:v>
                </c:pt>
                <c:pt idx="18">
                  <c:v>174096.52399999998</c:v>
                </c:pt>
                <c:pt idx="19">
                  <c:v>137305.91700000002</c:v>
                </c:pt>
                <c:pt idx="20">
                  <c:v>148593.068</c:v>
                </c:pt>
                <c:pt idx="21">
                  <c:v>162088.43900000001</c:v>
                </c:pt>
                <c:pt idx="22">
                  <c:v>159814.726</c:v>
                </c:pt>
                <c:pt idx="23">
                  <c:v>152137.95300000001</c:v>
                </c:pt>
                <c:pt idx="24">
                  <c:v>153993.01499999998</c:v>
                </c:pt>
                <c:pt idx="25">
                  <c:v>152513.40400000001</c:v>
                </c:pt>
                <c:pt idx="26">
                  <c:v>145807.10399999999</c:v>
                </c:pt>
                <c:pt idx="27">
                  <c:v>152498.73699999999</c:v>
                </c:pt>
                <c:pt idx="28">
                  <c:v>146341.60500000001</c:v>
                </c:pt>
                <c:pt idx="29">
                  <c:v>117558.177</c:v>
                </c:pt>
                <c:pt idx="30">
                  <c:v>77587.991000000009</c:v>
                </c:pt>
                <c:pt idx="31">
                  <c:v>93515.634999999995</c:v>
                </c:pt>
                <c:pt idx="32">
                  <c:v>116853.82</c:v>
                </c:pt>
                <c:pt idx="33">
                  <c:v>78213.188000000009</c:v>
                </c:pt>
                <c:pt idx="34">
                  <c:v>57215.003999999994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6C-462A-8F37-4099D6072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81920"/>
        <c:axId val="569671752"/>
      </c:areaChart>
      <c:catAx>
        <c:axId val="5696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967175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569671752"/>
        <c:scaling>
          <c:orientation val="minMax"/>
          <c:max val="1100000"/>
          <c:min val="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968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2349726775956278E-2"/>
          <c:y val="0.93013408888742466"/>
          <c:w val="0.7535921431952155"/>
          <c:h val="3.336721246664251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Supply of oil and blended biofuels, EU, kt</a:t>
            </a:r>
          </a:p>
        </c:rich>
      </c:tx>
      <c:layout>
        <c:manualLayout>
          <c:xMode val="edge"/>
          <c:yMode val="edge"/>
          <c:x val="5.4644808743169399E-3"/>
          <c:y val="8.368200836820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923518781463793E-2"/>
          <c:y val="6.2133891213389122E-2"/>
          <c:w val="0.96052697818510391"/>
          <c:h val="0.86857740809229134"/>
        </c:manualLayout>
      </c:layout>
      <c:areaChart>
        <c:grouping val="stacked"/>
        <c:varyColors val="0"/>
        <c:ser>
          <c:idx val="0"/>
          <c:order val="0"/>
          <c:tx>
            <c:strRef>
              <c:f>'DATA-CHARTS'!$A$22</c:f>
              <c:strCache>
                <c:ptCount val="1"/>
                <c:pt idx="0">
                  <c:v>Oil domestic production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'DATA-CHARTS'!$B$21:$AJ$21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'DATA-CHARTS'!$B$22:$AJ$22</c:f>
              <c:numCache>
                <c:formatCode>#,##0</c:formatCode>
                <c:ptCount val="35"/>
                <c:pt idx="0">
                  <c:v>40179</c:v>
                </c:pt>
                <c:pt idx="1">
                  <c:v>38934.9</c:v>
                </c:pt>
                <c:pt idx="2">
                  <c:v>38690.6</c:v>
                </c:pt>
                <c:pt idx="3">
                  <c:v>38565.599999999999</c:v>
                </c:pt>
                <c:pt idx="4">
                  <c:v>40102.699999999997</c:v>
                </c:pt>
                <c:pt idx="5">
                  <c:v>39315.9</c:v>
                </c:pt>
                <c:pt idx="6">
                  <c:v>38995.800000000003</c:v>
                </c:pt>
                <c:pt idx="7">
                  <c:v>39962.199999999997</c:v>
                </c:pt>
                <c:pt idx="8">
                  <c:v>39298.9</c:v>
                </c:pt>
                <c:pt idx="9">
                  <c:v>40561.300000000003</c:v>
                </c:pt>
                <c:pt idx="10">
                  <c:v>43871</c:v>
                </c:pt>
                <c:pt idx="11">
                  <c:v>41905</c:v>
                </c:pt>
                <c:pt idx="12">
                  <c:v>46800</c:v>
                </c:pt>
                <c:pt idx="13">
                  <c:v>46864</c:v>
                </c:pt>
                <c:pt idx="14">
                  <c:v>46345</c:v>
                </c:pt>
                <c:pt idx="15">
                  <c:v>45545.786</c:v>
                </c:pt>
                <c:pt idx="16">
                  <c:v>42693.14</c:v>
                </c:pt>
                <c:pt idx="17">
                  <c:v>40614.230000000003</c:v>
                </c:pt>
                <c:pt idx="18">
                  <c:v>38034.385999999999</c:v>
                </c:pt>
                <c:pt idx="19">
                  <c:v>34703.222999999998</c:v>
                </c:pt>
                <c:pt idx="20">
                  <c:v>33185.002</c:v>
                </c:pt>
                <c:pt idx="21">
                  <c:v>31460.978999999999</c:v>
                </c:pt>
                <c:pt idx="22">
                  <c:v>30224.902999999998</c:v>
                </c:pt>
                <c:pt idx="23">
                  <c:v>29391.375</c:v>
                </c:pt>
                <c:pt idx="24">
                  <c:v>29006.891</c:v>
                </c:pt>
                <c:pt idx="25">
                  <c:v>28201.078000000001</c:v>
                </c:pt>
                <c:pt idx="26">
                  <c:v>25211.285</c:v>
                </c:pt>
                <c:pt idx="27">
                  <c:v>25073.923999999999</c:v>
                </c:pt>
                <c:pt idx="28">
                  <c:v>24573.253000000001</c:v>
                </c:pt>
                <c:pt idx="29">
                  <c:v>22755.252</c:v>
                </c:pt>
                <c:pt idx="30">
                  <c:v>21445.329000000002</c:v>
                </c:pt>
                <c:pt idx="31">
                  <c:v>20209.433000000001</c:v>
                </c:pt>
                <c:pt idx="32">
                  <c:v>18838.68</c:v>
                </c:pt>
                <c:pt idx="33">
                  <c:v>19057.030999999999</c:v>
                </c:pt>
                <c:pt idx="34">
                  <c:v>17981.281999999999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0-47CC-9A2F-173B90FE3FAE}"/>
            </c:ext>
          </c:extLst>
        </c:ser>
        <c:ser>
          <c:idx val="1"/>
          <c:order val="1"/>
          <c:tx>
            <c:strRef>
              <c:f>'DATA-CHARTS'!$A$23</c:f>
              <c:strCache>
                <c:ptCount val="1"/>
                <c:pt idx="0">
                  <c:v>Oil net imports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'DATA-CHARTS'!$B$21:$AJ$21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'DATA-CHARTS'!$B$23:$AJ$23</c:f>
              <c:numCache>
                <c:formatCode>#,##0</c:formatCode>
                <c:ptCount val="35"/>
                <c:pt idx="0">
                  <c:v>544156.99499999988</c:v>
                </c:pt>
                <c:pt idx="1">
                  <c:v>545072.31799999997</c:v>
                </c:pt>
                <c:pt idx="2">
                  <c:v>548257.93999999994</c:v>
                </c:pt>
                <c:pt idx="3">
                  <c:v>541932.64199999999</c:v>
                </c:pt>
                <c:pt idx="4">
                  <c:v>547020.84699999995</c:v>
                </c:pt>
                <c:pt idx="5">
                  <c:v>557486.44299999997</c:v>
                </c:pt>
                <c:pt idx="6">
                  <c:v>575127.65800000005</c:v>
                </c:pt>
                <c:pt idx="7">
                  <c:v>579460.53499999992</c:v>
                </c:pt>
                <c:pt idx="8">
                  <c:v>603011.64599999995</c:v>
                </c:pt>
                <c:pt idx="9">
                  <c:v>572664.10600000003</c:v>
                </c:pt>
                <c:pt idx="10">
                  <c:v>575838.375</c:v>
                </c:pt>
                <c:pt idx="11">
                  <c:v>589863.73699999996</c:v>
                </c:pt>
                <c:pt idx="12">
                  <c:v>581946.99799999991</c:v>
                </c:pt>
                <c:pt idx="13">
                  <c:v>592560.93300000008</c:v>
                </c:pt>
                <c:pt idx="14">
                  <c:v>593541.78300000005</c:v>
                </c:pt>
                <c:pt idx="15">
                  <c:v>599625.45900000003</c:v>
                </c:pt>
                <c:pt idx="16">
                  <c:v>600589.09700000007</c:v>
                </c:pt>
                <c:pt idx="17">
                  <c:v>583074.04200000002</c:v>
                </c:pt>
                <c:pt idx="18">
                  <c:v>589122.92599999998</c:v>
                </c:pt>
                <c:pt idx="19">
                  <c:v>549173.22600000002</c:v>
                </c:pt>
                <c:pt idx="20">
                  <c:v>545116.09400000004</c:v>
                </c:pt>
                <c:pt idx="21">
                  <c:v>527268.946</c:v>
                </c:pt>
                <c:pt idx="22">
                  <c:v>506128.54199999996</c:v>
                </c:pt>
                <c:pt idx="23">
                  <c:v>493580.41899999999</c:v>
                </c:pt>
                <c:pt idx="24">
                  <c:v>487557.30800000002</c:v>
                </c:pt>
                <c:pt idx="25">
                  <c:v>506832.01400000002</c:v>
                </c:pt>
                <c:pt idx="26">
                  <c:v>502349.59699999995</c:v>
                </c:pt>
                <c:pt idx="27">
                  <c:v>510265.34300000005</c:v>
                </c:pt>
                <c:pt idx="28">
                  <c:v>510139.89400000003</c:v>
                </c:pt>
                <c:pt idx="29">
                  <c:v>520518.75100000005</c:v>
                </c:pt>
                <c:pt idx="30">
                  <c:v>453146.90300000005</c:v>
                </c:pt>
                <c:pt idx="31">
                  <c:v>451857.86099999998</c:v>
                </c:pt>
                <c:pt idx="32">
                  <c:v>494784.62900000002</c:v>
                </c:pt>
                <c:pt idx="33">
                  <c:v>470588.97200000001</c:v>
                </c:pt>
                <c:pt idx="34">
                  <c:v>475740.52800000005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10-47CC-9A2F-173B90FE3FAE}"/>
            </c:ext>
          </c:extLst>
        </c:ser>
        <c:ser>
          <c:idx val="2"/>
          <c:order val="2"/>
          <c:tx>
            <c:strRef>
              <c:f>'DATA-CHARTS'!$A$24</c:f>
              <c:strCache>
                <c:ptCount val="1"/>
                <c:pt idx="0">
                  <c:v>Liquid biofuels blended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bg1"/>
              </a:solidFill>
            </a:ln>
            <a:effectLst/>
          </c:spPr>
          <c:cat>
            <c:strRef>
              <c:f>'DATA-CHARTS'!$B$21:$AJ$21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'DATA-CHARTS'!$B$24:$AJ$24</c:f>
              <c:numCache>
                <c:formatCode>#,##0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52</c:v>
                </c:pt>
                <c:pt idx="4">
                  <c:v>131</c:v>
                </c:pt>
                <c:pt idx="5">
                  <c:v>204</c:v>
                </c:pt>
                <c:pt idx="6">
                  <c:v>304</c:v>
                </c:pt>
                <c:pt idx="7">
                  <c:v>400</c:v>
                </c:pt>
                <c:pt idx="8">
                  <c:v>364</c:v>
                </c:pt>
                <c:pt idx="9">
                  <c:v>381</c:v>
                </c:pt>
                <c:pt idx="10">
                  <c:v>544</c:v>
                </c:pt>
                <c:pt idx="11">
                  <c:v>580</c:v>
                </c:pt>
                <c:pt idx="12">
                  <c:v>724</c:v>
                </c:pt>
                <c:pt idx="13">
                  <c:v>859</c:v>
                </c:pt>
                <c:pt idx="14">
                  <c:v>1516</c:v>
                </c:pt>
                <c:pt idx="15">
                  <c:v>2583.2930000000633</c:v>
                </c:pt>
                <c:pt idx="16">
                  <c:v>3779.109999999986</c:v>
                </c:pt>
                <c:pt idx="17">
                  <c:v>6032.637999999919</c:v>
                </c:pt>
                <c:pt idx="18">
                  <c:v>9389.4030000000494</c:v>
                </c:pt>
                <c:pt idx="19">
                  <c:v>12326.288</c:v>
                </c:pt>
                <c:pt idx="20">
                  <c:v>14014.667000000016</c:v>
                </c:pt>
                <c:pt idx="21">
                  <c:v>14985.819000000018</c:v>
                </c:pt>
                <c:pt idx="22">
                  <c:v>16014.82799999998</c:v>
                </c:pt>
                <c:pt idx="23">
                  <c:v>14282.941999999981</c:v>
                </c:pt>
                <c:pt idx="24">
                  <c:v>15101.465999999957</c:v>
                </c:pt>
                <c:pt idx="25">
                  <c:v>15214.937000000034</c:v>
                </c:pt>
                <c:pt idx="26">
                  <c:v>14999.95199999999</c:v>
                </c:pt>
                <c:pt idx="27">
                  <c:v>16565.048999999999</c:v>
                </c:pt>
                <c:pt idx="28">
                  <c:v>17871.533999999985</c:v>
                </c:pt>
                <c:pt idx="29">
                  <c:v>18843.440000000002</c:v>
                </c:pt>
                <c:pt idx="30">
                  <c:v>18667.538</c:v>
                </c:pt>
                <c:pt idx="31">
                  <c:v>19884.744000000006</c:v>
                </c:pt>
                <c:pt idx="32">
                  <c:v>19464.671000000031</c:v>
                </c:pt>
                <c:pt idx="33">
                  <c:v>21061.081999999995</c:v>
                </c:pt>
                <c:pt idx="34">
                  <c:v>19210.464999999967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10-47CC-9A2F-173B90FE3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81920"/>
        <c:axId val="569671752"/>
      </c:areaChart>
      <c:catAx>
        <c:axId val="5696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967175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56967175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968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597801299427735"/>
          <c:y val="0.92804203867821966"/>
          <c:w val="0.64520244395680049"/>
          <c:h val="4.0326162158600472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Electricity production in the EU, GWh</a:t>
            </a:r>
          </a:p>
        </c:rich>
      </c:tx>
      <c:layout>
        <c:manualLayout>
          <c:xMode val="edge"/>
          <c:yMode val="edge"/>
          <c:x val="5.4644808743169399E-3"/>
          <c:y val="8.368200836820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936104298438104E-2"/>
          <c:y val="6.2133891213389122E-2"/>
          <c:w val="0.96289907921345896"/>
          <c:h val="0.86857740809229134"/>
        </c:manualLayout>
      </c:layout>
      <c:lineChart>
        <c:grouping val="standard"/>
        <c:varyColors val="0"/>
        <c:ser>
          <c:idx val="0"/>
          <c:order val="0"/>
          <c:tx>
            <c:strRef>
              <c:f>'DATA-CHARTS'!$A$30</c:f>
              <c:strCache>
                <c:ptCount val="1"/>
                <c:pt idx="0">
                  <c:v>Nuclear</c:v>
                </c:pt>
              </c:strCache>
            </c:strRef>
          </c:tx>
          <c:spPr>
            <a:ln w="28575" cap="rnd" cmpd="sng" algn="ctr">
              <a:solidFill>
                <a:srgbClr val="2644A7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6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3C7-4DB1-9D23-BBAAD5145A30}"/>
              </c:ext>
            </c:extLst>
          </c:dPt>
          <c:dPt>
            <c:idx val="32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2644A7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005E-4CD7-B2A1-4DEA8BF9ADEA}"/>
              </c:ext>
            </c:extLst>
          </c:dPt>
          <c:dPt>
            <c:idx val="33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2644A7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5609-4AD5-AD66-84A2167C5570}"/>
              </c:ext>
            </c:extLst>
          </c:dPt>
          <c:dPt>
            <c:idx val="34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rgbClr val="2644A7">
                    <a:lumMod val="100000"/>
                  </a:srgbClr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D910-41F1-830F-FCEB83A15E3F}"/>
              </c:ext>
            </c:extLst>
          </c:dPt>
          <c:cat>
            <c:strRef>
              <c:f>'DATA-CHARTS'!$B$29:$AJ$29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'DATA-CHARTS'!$B$30:$AJ$30</c:f>
              <c:numCache>
                <c:formatCode>#,##0</c:formatCode>
                <c:ptCount val="35"/>
                <c:pt idx="0">
                  <c:v>729114</c:v>
                </c:pt>
                <c:pt idx="1">
                  <c:v>749292</c:v>
                </c:pt>
                <c:pt idx="2">
                  <c:v>750516</c:v>
                </c:pt>
                <c:pt idx="3">
                  <c:v>772820</c:v>
                </c:pt>
                <c:pt idx="4">
                  <c:v>770442</c:v>
                </c:pt>
                <c:pt idx="5">
                  <c:v>791857</c:v>
                </c:pt>
                <c:pt idx="6">
                  <c:v>831268</c:v>
                </c:pt>
                <c:pt idx="7">
                  <c:v>839476</c:v>
                </c:pt>
                <c:pt idx="8">
                  <c:v>833365</c:v>
                </c:pt>
                <c:pt idx="9">
                  <c:v>848251</c:v>
                </c:pt>
                <c:pt idx="10">
                  <c:v>859930</c:v>
                </c:pt>
                <c:pt idx="11">
                  <c:v>888892</c:v>
                </c:pt>
                <c:pt idx="12">
                  <c:v>902348</c:v>
                </c:pt>
                <c:pt idx="13">
                  <c:v>907174</c:v>
                </c:pt>
                <c:pt idx="14">
                  <c:v>928438</c:v>
                </c:pt>
                <c:pt idx="15">
                  <c:v>916081</c:v>
                </c:pt>
                <c:pt idx="16">
                  <c:v>914426</c:v>
                </c:pt>
                <c:pt idx="17">
                  <c:v>872249</c:v>
                </c:pt>
                <c:pt idx="18">
                  <c:v>884729</c:v>
                </c:pt>
                <c:pt idx="19">
                  <c:v>824912</c:v>
                </c:pt>
                <c:pt idx="20">
                  <c:v>854470</c:v>
                </c:pt>
                <c:pt idx="21">
                  <c:v>837768.76300000004</c:v>
                </c:pt>
                <c:pt idx="22">
                  <c:v>811961.01699999999</c:v>
                </c:pt>
                <c:pt idx="23">
                  <c:v>806222.67099999997</c:v>
                </c:pt>
                <c:pt idx="24">
                  <c:v>812550.00899999996</c:v>
                </c:pt>
                <c:pt idx="25">
                  <c:v>786675.84900000005</c:v>
                </c:pt>
                <c:pt idx="26">
                  <c:v>767958.76</c:v>
                </c:pt>
                <c:pt idx="27">
                  <c:v>759382.64300000004</c:v>
                </c:pt>
                <c:pt idx="28">
                  <c:v>761943.04799999995</c:v>
                </c:pt>
                <c:pt idx="29">
                  <c:v>765337.85600000003</c:v>
                </c:pt>
                <c:pt idx="30">
                  <c:v>683512.14500000002</c:v>
                </c:pt>
                <c:pt idx="31">
                  <c:v>731700.79299999995</c:v>
                </c:pt>
                <c:pt idx="32">
                  <c:v>609255.49600000004</c:v>
                </c:pt>
                <c:pt idx="33">
                  <c:v>619601.31099999999</c:v>
                </c:pt>
                <c:pt idx="34">
                  <c:v>649262.86199999996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5E-4CD7-B2A1-4DEA8BF9ADEA}"/>
            </c:ext>
          </c:extLst>
        </c:ser>
        <c:ser>
          <c:idx val="1"/>
          <c:order val="1"/>
          <c:tx>
            <c:strRef>
              <c:f>'DATA-CHARTS'!$A$31</c:f>
              <c:strCache>
                <c:ptCount val="1"/>
                <c:pt idx="0">
                  <c:v>Renewables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plus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32"/>
            <c:marker>
              <c:symbol val="plus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005E-4CD7-B2A1-4DEA8BF9ADEA}"/>
              </c:ext>
            </c:extLst>
          </c:dPt>
          <c:dPt>
            <c:idx val="33"/>
            <c:marker>
              <c:symbol val="plus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5609-4AD5-AD66-84A2167C5570}"/>
              </c:ext>
            </c:extLst>
          </c:dPt>
          <c:dPt>
            <c:idx val="34"/>
            <c:marker>
              <c:symbol val="plus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4"/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D910-41F1-830F-FCEB83A15E3F}"/>
              </c:ext>
            </c:extLst>
          </c:dPt>
          <c:cat>
            <c:strRef>
              <c:f>'DATA-CHARTS'!$B$29:$AJ$29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'DATA-CHARTS'!$B$31:$AJ$31</c:f>
              <c:numCache>
                <c:formatCode>#,##0</c:formatCode>
                <c:ptCount val="35"/>
                <c:pt idx="0">
                  <c:v>301899.22300000006</c:v>
                </c:pt>
                <c:pt idx="1">
                  <c:v>314869.32800000004</c:v>
                </c:pt>
                <c:pt idx="2">
                  <c:v>328271.04300000001</c:v>
                </c:pt>
                <c:pt idx="3">
                  <c:v>338542.141</c:v>
                </c:pt>
                <c:pt idx="4">
                  <c:v>350473.37700000004</c:v>
                </c:pt>
                <c:pt idx="5">
                  <c:v>352737.29400000005</c:v>
                </c:pt>
                <c:pt idx="6">
                  <c:v>355334.89000000007</c:v>
                </c:pt>
                <c:pt idx="7">
                  <c:v>366748.39400000003</c:v>
                </c:pt>
                <c:pt idx="8">
                  <c:v>384704.234</c:v>
                </c:pt>
                <c:pt idx="9">
                  <c:v>386357.97700000007</c:v>
                </c:pt>
                <c:pt idx="10">
                  <c:v>407000.85799999995</c:v>
                </c:pt>
                <c:pt idx="11">
                  <c:v>436332.79699999996</c:v>
                </c:pt>
                <c:pt idx="12">
                  <c:v>389999.53</c:v>
                </c:pt>
                <c:pt idx="13">
                  <c:v>397544.98300000007</c:v>
                </c:pt>
                <c:pt idx="14">
                  <c:v>440336.19899999996</c:v>
                </c:pt>
                <c:pt idx="15">
                  <c:v>443472.79800000007</c:v>
                </c:pt>
                <c:pt idx="16">
                  <c:v>467173.95200000005</c:v>
                </c:pt>
                <c:pt idx="17">
                  <c:v>496097.11</c:v>
                </c:pt>
                <c:pt idx="18">
                  <c:v>540582.67899999989</c:v>
                </c:pt>
                <c:pt idx="19">
                  <c:v>570918.17700000003</c:v>
                </c:pt>
                <c:pt idx="20">
                  <c:v>652628.07699999993</c:v>
                </c:pt>
                <c:pt idx="21">
                  <c:v>645633.08600000013</c:v>
                </c:pt>
                <c:pt idx="22">
                  <c:v>728537.95</c:v>
                </c:pt>
                <c:pt idx="23">
                  <c:v>807302.54600000009</c:v>
                </c:pt>
                <c:pt idx="24">
                  <c:v>837719.38000000012</c:v>
                </c:pt>
                <c:pt idx="25">
                  <c:v>856633.17999999982</c:v>
                </c:pt>
                <c:pt idx="26">
                  <c:v>871892.02899999986</c:v>
                </c:pt>
                <c:pt idx="27">
                  <c:v>875589.57300000009</c:v>
                </c:pt>
                <c:pt idx="28">
                  <c:v>940201.95099999988</c:v>
                </c:pt>
                <c:pt idx="29">
                  <c:v>978153.81300000008</c:v>
                </c:pt>
                <c:pt idx="30">
                  <c:v>1060003.6780000001</c:v>
                </c:pt>
                <c:pt idx="31">
                  <c:v>1078269.7779999999</c:v>
                </c:pt>
                <c:pt idx="32">
                  <c:v>1081040.9090000002</c:v>
                </c:pt>
                <c:pt idx="33">
                  <c:v>1218483.9959999998</c:v>
                </c:pt>
                <c:pt idx="34">
                  <c:v>1312554.9269999999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5E-4CD7-B2A1-4DEA8BF9ADEA}"/>
            </c:ext>
          </c:extLst>
        </c:ser>
        <c:ser>
          <c:idx val="2"/>
          <c:order val="2"/>
          <c:tx>
            <c:strRef>
              <c:f>'DATA-CHARTS'!$A$32</c:f>
              <c:strCache>
                <c:ptCount val="1"/>
                <c:pt idx="0">
                  <c:v>Fossil fuels</c:v>
                </c:pt>
              </c:strCache>
            </c:strRef>
          </c:tx>
          <c:spPr>
            <a:ln w="28575" cap="rnd">
              <a:solidFill>
                <a:srgbClr val="E04040">
                  <a:lumMod val="100000"/>
                </a:srgbClr>
              </a:solidFill>
              <a:round/>
            </a:ln>
            <a:effectLst/>
          </c:spPr>
          <c:marker>
            <c:symbol val="dash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2"/>
            <c:marker>
              <c:symbol val="dash"/>
              <c:size val="7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E04040">
                    <a:lumMod val="10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005E-4CD7-B2A1-4DEA8BF9ADEA}"/>
              </c:ext>
            </c:extLst>
          </c:dPt>
          <c:dPt>
            <c:idx val="33"/>
            <c:marker>
              <c:symbol val="dash"/>
              <c:size val="7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E04040">
                    <a:lumMod val="10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09-4AD5-AD66-84A2167C5570}"/>
              </c:ext>
            </c:extLst>
          </c:dPt>
          <c:dPt>
            <c:idx val="34"/>
            <c:marker>
              <c:symbol val="dash"/>
              <c:size val="7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E04040">
                    <a:lumMod val="10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910-41F1-830F-FCEB83A15E3F}"/>
              </c:ext>
            </c:extLst>
          </c:dPt>
          <c:cat>
            <c:strRef>
              <c:f>'DATA-CHARTS'!$B$29:$AJ$29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'DATA-CHARTS'!$B$32:$AJ$32</c:f>
              <c:numCache>
                <c:formatCode>#,##0</c:formatCode>
                <c:ptCount val="35"/>
                <c:pt idx="0">
                  <c:v>1226155.5930000001</c:v>
                </c:pt>
                <c:pt idx="1">
                  <c:v>1232602.75</c:v>
                </c:pt>
                <c:pt idx="2">
                  <c:v>1202058.219</c:v>
                </c:pt>
                <c:pt idx="3">
                  <c:v>1171806.128</c:v>
                </c:pt>
                <c:pt idx="4">
                  <c:v>1200454.872</c:v>
                </c:pt>
                <c:pt idx="5">
                  <c:v>1242643.632</c:v>
                </c:pt>
                <c:pt idx="6">
                  <c:v>1284140.4979999999</c:v>
                </c:pt>
                <c:pt idx="7">
                  <c:v>1276927.352</c:v>
                </c:pt>
                <c:pt idx="8">
                  <c:v>1315939.841</c:v>
                </c:pt>
                <c:pt idx="9">
                  <c:v>1324359.0519999999</c:v>
                </c:pt>
                <c:pt idx="10">
                  <c:v>1361084.5430000001</c:v>
                </c:pt>
                <c:pt idx="11">
                  <c:v>1378870.5870000001</c:v>
                </c:pt>
                <c:pt idx="12">
                  <c:v>1429866.9069999999</c:v>
                </c:pt>
                <c:pt idx="13">
                  <c:v>1497625.5110000002</c:v>
                </c:pt>
                <c:pt idx="14">
                  <c:v>1500386.953</c:v>
                </c:pt>
                <c:pt idx="15">
                  <c:v>1523238.8140000002</c:v>
                </c:pt>
                <c:pt idx="16">
                  <c:v>1553341.5610000002</c:v>
                </c:pt>
                <c:pt idx="17">
                  <c:v>1583278.6719999998</c:v>
                </c:pt>
                <c:pt idx="18">
                  <c:v>1539522.8289999997</c:v>
                </c:pt>
                <c:pt idx="19">
                  <c:v>1418036.2609999997</c:v>
                </c:pt>
                <c:pt idx="20">
                  <c:v>1443189.4020000002</c:v>
                </c:pt>
                <c:pt idx="21">
                  <c:v>1428367.2739999997</c:v>
                </c:pt>
                <c:pt idx="22">
                  <c:v>1366031.4470000002</c:v>
                </c:pt>
                <c:pt idx="23">
                  <c:v>1274316.1200000003</c:v>
                </c:pt>
                <c:pt idx="24">
                  <c:v>1177765.1020000004</c:v>
                </c:pt>
                <c:pt idx="25">
                  <c:v>1230153.757</c:v>
                </c:pt>
                <c:pt idx="26">
                  <c:v>1255173.0489999996</c:v>
                </c:pt>
                <c:pt idx="27">
                  <c:v>1291537.7819999999</c:v>
                </c:pt>
                <c:pt idx="28">
                  <c:v>1209625.1939999994</c:v>
                </c:pt>
                <c:pt idx="29">
                  <c:v>1133445.969</c:v>
                </c:pt>
                <c:pt idx="30">
                  <c:v>1013056.713</c:v>
                </c:pt>
                <c:pt idx="31">
                  <c:v>1074594.588</c:v>
                </c:pt>
                <c:pt idx="32">
                  <c:v>1096763.9920000001</c:v>
                </c:pt>
                <c:pt idx="33">
                  <c:v>873297.61499999999</c:v>
                </c:pt>
                <c:pt idx="34">
                  <c:v>810225.40399999975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5E-4CD7-B2A1-4DEA8BF9A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681920"/>
        <c:axId val="569671752"/>
      </c:lineChart>
      <c:catAx>
        <c:axId val="5696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967175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569671752"/>
        <c:scaling>
          <c:orientation val="minMax"/>
          <c:max val="1600000"/>
          <c:min val="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968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02561206488533"/>
          <c:y val="0.92385793825980955"/>
          <c:w val="0.41216535433070872"/>
          <c:h val="4.0326162158600472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theme="7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>
    <tabColor theme="7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theme="7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theme="7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3944600" cy="9105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</cdr:x>
      <cdr:y>0.95563</cdr:y>
    </cdr:from>
    <cdr:ext cx="7766400" cy="269369"/>
    <cdr:sp macro="" textlink="">
      <cdr:nvSpPr>
        <cdr:cNvPr id="5" name="FootonotesShape">
          <a:extLst xmlns:a="http://schemas.openxmlformats.org/drawingml/2006/main">
            <a:ext uri="{FF2B5EF4-FFF2-40B4-BE49-F238E27FC236}">
              <a16:creationId xmlns:a16="http://schemas.microsoft.com/office/drawing/2014/main" id="{7E542AB5-BBE4-F814-FDDC-D71536375E43}"/>
            </a:ext>
          </a:extLst>
        </cdr:cNvPr>
        <cdr:cNvSpPr txBox="1"/>
      </cdr:nvSpPr>
      <cdr:spPr>
        <a:xfrm xmlns:a="http://schemas.openxmlformats.org/drawingml/2006/main">
          <a:off x="0" y="5801231"/>
          <a:ext cx="77664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codes: nrg_cg_sff, nrg_cb_gas, nrg_cb_oil, nrg_ind_pehcf, nrg_ind_pehnf)</a:t>
          </a:r>
        </a:p>
      </cdr:txBody>
    </cdr:sp>
  </cdr:absSizeAnchor>
  <cdr:absSizeAnchor xmlns:cdr="http://schemas.openxmlformats.org/drawingml/2006/chartDrawing">
    <cdr:from>
      <cdr:x>0.83541</cdr:x>
      <cdr:y>0.93071</cdr:y>
    </cdr:from>
    <cdr:ext cx="1530098" cy="420623"/>
    <cdr:pic>
      <cdr:nvPicPr>
        <cdr:cNvPr id="8" name="LogoShape">
          <a:extLst xmlns:a="http://schemas.openxmlformats.org/drawingml/2006/main">
            <a:ext uri="{FF2B5EF4-FFF2-40B4-BE49-F238E27FC236}">
              <a16:creationId xmlns:a16="http://schemas.microsoft.com/office/drawing/2014/main" id="{82E519F6-D2DA-41E1-E7CF-BF7468CC50F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766301" y="5649977"/>
          <a:ext cx="1530098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944600" cy="9105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0.95014</cdr:x>
      <cdr:y>0.44529</cdr:y>
    </cdr:from>
    <cdr:to>
      <cdr:x>1</cdr:x>
      <cdr:y>0.48849</cdr:y>
    </cdr:to>
    <cdr:sp macro="" textlink="'DATA-CHARTS'!$AJ$5">
      <cdr:nvSpPr>
        <cdr:cNvPr id="3" name="TextBox 1"/>
        <cdr:cNvSpPr txBox="1"/>
      </cdr:nvSpPr>
      <cdr:spPr>
        <a:xfrm xmlns:a="http://schemas.openxmlformats.org/drawingml/2006/main">
          <a:off x="8832850" y="2703176"/>
          <a:ext cx="463550" cy="2622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fld id="{1B9EE26D-5060-4738-87EE-FBE7D8D8FD86}" type="TxLink">
            <a:rPr lang="en-150" sz="1600" b="1" i="0" u="none" strike="noStrike">
              <a:solidFill>
                <a:schemeClr val="accent2"/>
              </a:solidFill>
              <a:latin typeface="Arial Narrow" panose="020B0606020202030204" pitchFamily="34" charset="0"/>
              <a:cs typeface="Calibri"/>
            </a:rPr>
            <a:pPr algn="r"/>
            <a:t>88%</a:t>
          </a:fld>
          <a:endParaRPr lang="en-GB" sz="1600">
            <a:solidFill>
              <a:schemeClr val="accent2"/>
            </a:solidFill>
            <a:latin typeface="Arial Narrow" panose="020B0606020202030204" pitchFamily="34" charset="0"/>
            <a:cs typeface="Arial" panose="020B0604020202020204" pitchFamily="34" charset="0"/>
          </a:endParaRPr>
        </a:p>
      </cdr:txBody>
    </cdr:sp>
  </cdr:relSizeAnchor>
  <cdr:absSizeAnchor xmlns:cdr="http://schemas.openxmlformats.org/drawingml/2006/chartDrawing">
    <cdr:from>
      <cdr:x>0</cdr:x>
      <cdr:y>0.95563</cdr:y>
    </cdr:from>
    <cdr:ext cx="77664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B481364B-A866-CF4D-CA7F-6C710638CD5D}"/>
            </a:ext>
          </a:extLst>
        </cdr:cNvPr>
        <cdr:cNvSpPr txBox="1"/>
      </cdr:nvSpPr>
      <cdr:spPr>
        <a:xfrm xmlns:a="http://schemas.openxmlformats.org/drawingml/2006/main">
          <a:off x="0" y="5801231"/>
          <a:ext cx="77664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nrg_cb_gas)</a:t>
          </a:r>
        </a:p>
      </cdr:txBody>
    </cdr:sp>
  </cdr:absSizeAnchor>
  <cdr:absSizeAnchor xmlns:cdr="http://schemas.openxmlformats.org/drawingml/2006/chartDrawing">
    <cdr:from>
      <cdr:x>0.83541</cdr:x>
      <cdr:y>0.93071</cdr:y>
    </cdr:from>
    <cdr:ext cx="1530098" cy="420623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63EC3BEB-B440-3B93-56AF-080BEB26E25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766301" y="5649977"/>
          <a:ext cx="1530098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3944600" cy="9105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0.94264</cdr:x>
      <cdr:y>0.65889</cdr:y>
    </cdr:from>
    <cdr:to>
      <cdr:x>1</cdr:x>
      <cdr:y>0.74092</cdr:y>
    </cdr:to>
    <cdr:sp macro="" textlink="'DATA-CHARTS'!$AJ$42">
      <cdr:nvSpPr>
        <cdr:cNvPr id="4" name="TextBox 3"/>
        <cdr:cNvSpPr txBox="1"/>
      </cdr:nvSpPr>
      <cdr:spPr>
        <a:xfrm xmlns:a="http://schemas.openxmlformats.org/drawingml/2006/main">
          <a:off x="13144738" y="5999761"/>
          <a:ext cx="799862" cy="7469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fld id="{B8FE01DA-9B2E-4878-85B8-588BBD9BE35C}" type="TxLink">
            <a:rPr lang="en-150" sz="1600" b="1" i="0" u="none" strike="noStrike">
              <a:solidFill>
                <a:schemeClr val="accent2"/>
              </a:solidFill>
              <a:latin typeface="Arial Narrow" panose="020B0606020202030204" pitchFamily="34" charset="0"/>
              <a:cs typeface="Arial" panose="020B0604020202020204" pitchFamily="34" charset="0"/>
            </a:rPr>
            <a:pPr algn="r"/>
            <a:t>19%</a:t>
          </a:fld>
          <a:endParaRPr lang="en-GB" sz="1600">
            <a:solidFill>
              <a:schemeClr val="accent2"/>
            </a:solidFill>
            <a:latin typeface="Arial Narrow" panose="020B0606020202030204" pitchFamily="34" charset="0"/>
            <a:cs typeface="Arial" panose="020B0604020202020204" pitchFamily="34" charset="0"/>
          </a:endParaRPr>
        </a:p>
      </cdr:txBody>
    </cdr:sp>
  </cdr:relSizeAnchor>
  <cdr:absSizeAnchor xmlns:cdr="http://schemas.openxmlformats.org/drawingml/2006/chartDrawing">
    <cdr:from>
      <cdr:x>0</cdr:x>
      <cdr:y>0.95563</cdr:y>
    </cdr:from>
    <cdr:ext cx="77664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35CC1F5B-F6BD-C118-C402-1B22AFC5A43F}"/>
            </a:ext>
          </a:extLst>
        </cdr:cNvPr>
        <cdr:cNvSpPr txBox="1"/>
      </cdr:nvSpPr>
      <cdr:spPr>
        <a:xfrm xmlns:a="http://schemas.openxmlformats.org/drawingml/2006/main">
          <a:off x="0" y="5801231"/>
          <a:ext cx="77664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nrg_cb_sff)</a:t>
          </a:r>
        </a:p>
      </cdr:txBody>
    </cdr:sp>
  </cdr:absSizeAnchor>
  <cdr:absSizeAnchor xmlns:cdr="http://schemas.openxmlformats.org/drawingml/2006/chartDrawing">
    <cdr:from>
      <cdr:x>0.83541</cdr:x>
      <cdr:y>0.93071</cdr:y>
    </cdr:from>
    <cdr:ext cx="1530098" cy="420623"/>
    <cdr:pic>
      <cdr:nvPicPr>
        <cdr:cNvPr id="7" name="LogoShape">
          <a:extLst xmlns:a="http://schemas.openxmlformats.org/drawingml/2006/main">
            <a:ext uri="{FF2B5EF4-FFF2-40B4-BE49-F238E27FC236}">
              <a16:creationId xmlns:a16="http://schemas.microsoft.com/office/drawing/2014/main" id="{393531E0-92DD-AD3D-AC85-5995387A636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766301" y="5649977"/>
          <a:ext cx="1530098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3944600" cy="9105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0.95082</cdr:x>
      <cdr:y>0.51464</cdr:y>
    </cdr:from>
    <cdr:to>
      <cdr:x>1</cdr:x>
      <cdr:y>0.55083</cdr:y>
    </cdr:to>
    <cdr:sp macro="" textlink="'DATA-CHARTS'!$AJ$25">
      <cdr:nvSpPr>
        <cdr:cNvPr id="3" name="TextBox 1"/>
        <cdr:cNvSpPr txBox="1"/>
      </cdr:nvSpPr>
      <cdr:spPr>
        <a:xfrm xmlns:a="http://schemas.openxmlformats.org/drawingml/2006/main">
          <a:off x="8839200" y="3124199"/>
          <a:ext cx="457200" cy="2196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fld id="{E2FF511D-F6CA-4249-8A41-7A533299BF50}" type="TxLink">
            <a:rPr lang="en-150" sz="1600" b="1" i="0" u="none" strike="noStrike">
              <a:solidFill>
                <a:schemeClr val="accent2"/>
              </a:solidFill>
              <a:latin typeface="Arial Narrow" panose="020B0606020202030204" pitchFamily="34" charset="0"/>
              <a:cs typeface="Calibri"/>
            </a:rPr>
            <a:pPr algn="r"/>
            <a:t>93%</a:t>
          </a:fld>
          <a:endParaRPr lang="en-GB" sz="1600">
            <a:solidFill>
              <a:schemeClr val="accent2"/>
            </a:solidFill>
            <a:latin typeface="Arial Narrow" panose="020B0606020202030204" pitchFamily="34" charset="0"/>
            <a:cs typeface="Arial" panose="020B0604020202020204" pitchFamily="34" charset="0"/>
          </a:endParaRPr>
        </a:p>
      </cdr:txBody>
    </cdr:sp>
  </cdr:relSizeAnchor>
  <cdr:absSizeAnchor xmlns:cdr="http://schemas.openxmlformats.org/drawingml/2006/chartDrawing">
    <cdr:from>
      <cdr:x>0</cdr:x>
      <cdr:y>0.95563</cdr:y>
    </cdr:from>
    <cdr:ext cx="77664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DD9530B2-42F7-A870-903C-57DC965E82B6}"/>
            </a:ext>
          </a:extLst>
        </cdr:cNvPr>
        <cdr:cNvSpPr txBox="1"/>
      </cdr:nvSpPr>
      <cdr:spPr>
        <a:xfrm xmlns:a="http://schemas.openxmlformats.org/drawingml/2006/main">
          <a:off x="0" y="5801231"/>
          <a:ext cx="77664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nrg_cb_oil)</a:t>
          </a:r>
        </a:p>
      </cdr:txBody>
    </cdr:sp>
  </cdr:absSizeAnchor>
  <cdr:absSizeAnchor xmlns:cdr="http://schemas.openxmlformats.org/drawingml/2006/chartDrawing">
    <cdr:from>
      <cdr:x>0.83541</cdr:x>
      <cdr:y>0.93071</cdr:y>
    </cdr:from>
    <cdr:ext cx="1530098" cy="420623"/>
    <cdr:pic>
      <cdr:nvPicPr>
        <cdr:cNvPr id="7" name="LogoShape">
          <a:extLst xmlns:a="http://schemas.openxmlformats.org/drawingml/2006/main">
            <a:ext uri="{FF2B5EF4-FFF2-40B4-BE49-F238E27FC236}">
              <a16:creationId xmlns:a16="http://schemas.microsoft.com/office/drawing/2014/main" id="{53D14FBB-BD02-7C81-908B-D1CC65FB87E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766301" y="5649977"/>
          <a:ext cx="1530098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13944600" cy="9105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absSizeAnchor xmlns:cdr="http://schemas.openxmlformats.org/drawingml/2006/chartDrawing">
    <cdr:from>
      <cdr:x>0</cdr:x>
      <cdr:y>0.95563</cdr:y>
    </cdr:from>
    <cdr:ext cx="77664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232CF0CB-1EB8-14C7-E513-2FDDE63F4706}"/>
            </a:ext>
          </a:extLst>
        </cdr:cNvPr>
        <cdr:cNvSpPr txBox="1"/>
      </cdr:nvSpPr>
      <cdr:spPr>
        <a:xfrm xmlns:a="http://schemas.openxmlformats.org/drawingml/2006/main">
          <a:off x="0" y="5801231"/>
          <a:ext cx="77664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codes: nrg_ind_pehcf, nrg_ind_pehnf)</a:t>
          </a:r>
        </a:p>
      </cdr:txBody>
    </cdr:sp>
  </cdr:absSizeAnchor>
  <cdr:absSizeAnchor xmlns:cdr="http://schemas.openxmlformats.org/drawingml/2006/chartDrawing">
    <cdr:from>
      <cdr:x>0.83541</cdr:x>
      <cdr:y>0.93071</cdr:y>
    </cdr:from>
    <cdr:ext cx="1530098" cy="420623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00068E40-87D8-C439-89DA-74A96BD3E24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766301" y="5649977"/>
          <a:ext cx="1530098" cy="420623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view/NRG_CB_OIL__custom_11906171/default/table?lang=en" TargetMode="External"/><Relationship Id="rId2" Type="http://schemas.openxmlformats.org/officeDocument/2006/relationships/hyperlink" Target="https://ec.europa.eu/eurostat/databrowser/view/NRG_CB_OIL__custom_11906162/default/table?lang=en" TargetMode="External"/><Relationship Id="rId1" Type="http://schemas.openxmlformats.org/officeDocument/2006/relationships/hyperlink" Target="https://ec.europa.eu/eurostat/databrowser/view/NRG_CB_OIL__custom_11906154/default/table?lang=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c.europa.eu/eurostat/databrowser/bookmark/da69b178-3a1a-446b-a755-dee1c50c7a86?lang=e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c.europa.eu/eurostat/databrowser/view/NRG_CB_GAS__custom_11896525/default/table?lang=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view/NRG_CB_E__custom_11897030/default/table?lang=en" TargetMode="External"/><Relationship Id="rId2" Type="http://schemas.openxmlformats.org/officeDocument/2006/relationships/hyperlink" Target="https://ec.europa.eu/eurostat/databrowser/view/NRG_IND_PEHCF__custom_11896838/default/table?lang=en" TargetMode="External"/><Relationship Id="rId1" Type="http://schemas.openxmlformats.org/officeDocument/2006/relationships/hyperlink" Target="https://ec.europa.eu/eurostat/databrowser/view/NRG_IND_PEHNF__custom_11896696/default/table?lang=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view/NRG_CB_H__custom_11897622/default/table?lang=en" TargetMode="External"/><Relationship Id="rId2" Type="http://schemas.openxmlformats.org/officeDocument/2006/relationships/hyperlink" Target="https://ec.europa.eu/eurostat/databrowser/view/NRG_IND_PEHCF__custom_11896838/default/table?lang=en" TargetMode="External"/><Relationship Id="rId1" Type="http://schemas.openxmlformats.org/officeDocument/2006/relationships/hyperlink" Target="https://ec.europa.eu/eurostat/databrowser/view/NRG_IND_PEHNF__custom_11896696/default/table?lang=e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c.europa.eu/eurostat/databrowser/view/NRG_CB_RW__custom_6658754/default/table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K154"/>
  <sheetViews>
    <sheetView topLeftCell="G48" zoomScale="89" zoomScaleNormal="89" workbookViewId="0">
      <selection activeCell="AB82" sqref="AB82:AK82"/>
    </sheetView>
  </sheetViews>
  <sheetFormatPr defaultRowHeight="12.5" x14ac:dyDescent="0.25"/>
  <cols>
    <col min="1" max="1" width="38" style="16" customWidth="1"/>
    <col min="2" max="2" width="31.26953125" style="16" customWidth="1"/>
    <col min="3" max="29" width="9.1796875" style="16" customWidth="1"/>
    <col min="30" max="16384" width="8.7265625" style="16"/>
  </cols>
  <sheetData>
    <row r="1" spans="1:37" ht="14.5" x14ac:dyDescent="0.35">
      <c r="A1" s="96" t="s">
        <v>274</v>
      </c>
    </row>
    <row r="2" spans="1:37" x14ac:dyDescent="0.25">
      <c r="A2" s="16" t="s">
        <v>87</v>
      </c>
    </row>
    <row r="5" spans="1:37" ht="14.5" x14ac:dyDescent="0.35">
      <c r="A5" s="84" t="s">
        <v>310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7" ht="14.5" x14ac:dyDescent="0.35">
      <c r="A6" s="84" t="s">
        <v>1</v>
      </c>
      <c r="B6" s="85" t="s">
        <v>273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7" ht="14.5" x14ac:dyDescent="0.35">
      <c r="A7" s="84" t="s">
        <v>2</v>
      </c>
      <c r="B7" s="113">
        <v>45833.458333333336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7" ht="14.5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7" ht="14.5" x14ac:dyDescent="0.35">
      <c r="A9" s="85" t="s">
        <v>3</v>
      </c>
      <c r="B9"/>
      <c r="C9" s="84" t="s">
        <v>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7" ht="14.5" x14ac:dyDescent="0.35">
      <c r="A10" s="85" t="s">
        <v>5</v>
      </c>
      <c r="B10"/>
      <c r="C10" s="84" t="s">
        <v>6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7" ht="14.5" x14ac:dyDescent="0.35">
      <c r="A11" s="85" t="s">
        <v>7</v>
      </c>
      <c r="B11"/>
      <c r="C11" s="84" t="s">
        <v>8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7" ht="14.5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7" x14ac:dyDescent="0.25">
      <c r="A13" s="115" t="s">
        <v>9</v>
      </c>
      <c r="B13" s="115" t="s">
        <v>9</v>
      </c>
      <c r="C13" s="86" t="s">
        <v>10</v>
      </c>
      <c r="D13" s="86" t="s">
        <v>11</v>
      </c>
      <c r="E13" s="86" t="s">
        <v>12</v>
      </c>
      <c r="F13" s="86" t="s">
        <v>13</v>
      </c>
      <c r="G13" s="86" t="s">
        <v>14</v>
      </c>
      <c r="H13" s="86" t="s">
        <v>15</v>
      </c>
      <c r="I13" s="86" t="s">
        <v>16</v>
      </c>
      <c r="J13" s="86" t="s">
        <v>17</v>
      </c>
      <c r="K13" s="86" t="s">
        <v>18</v>
      </c>
      <c r="L13" s="86" t="s">
        <v>19</v>
      </c>
      <c r="M13" s="86" t="s">
        <v>20</v>
      </c>
      <c r="N13" s="86" t="s">
        <v>21</v>
      </c>
      <c r="O13" s="86" t="s">
        <v>22</v>
      </c>
      <c r="P13" s="86" t="s">
        <v>23</v>
      </c>
      <c r="Q13" s="86" t="s">
        <v>24</v>
      </c>
      <c r="R13" s="86" t="s">
        <v>25</v>
      </c>
      <c r="S13" s="86" t="s">
        <v>26</v>
      </c>
      <c r="T13" s="86" t="s">
        <v>27</v>
      </c>
      <c r="U13" s="86" t="s">
        <v>28</v>
      </c>
      <c r="V13" s="86" t="s">
        <v>29</v>
      </c>
      <c r="W13" s="86" t="s">
        <v>30</v>
      </c>
      <c r="X13" s="86" t="s">
        <v>31</v>
      </c>
      <c r="Y13" s="86" t="s">
        <v>32</v>
      </c>
      <c r="Z13" s="86" t="s">
        <v>33</v>
      </c>
      <c r="AA13" s="86" t="s">
        <v>34</v>
      </c>
      <c r="AB13" s="86" t="s">
        <v>35</v>
      </c>
      <c r="AC13" s="86" t="s">
        <v>36</v>
      </c>
      <c r="AD13" s="86" t="s">
        <v>37</v>
      </c>
      <c r="AE13" s="86" t="s">
        <v>38</v>
      </c>
      <c r="AF13" s="86" t="s">
        <v>39</v>
      </c>
      <c r="AG13" s="86" t="s">
        <v>40</v>
      </c>
      <c r="AH13" s="86" t="s">
        <v>41</v>
      </c>
      <c r="AI13" s="86" t="s">
        <v>42</v>
      </c>
      <c r="AJ13" s="86" t="s">
        <v>254</v>
      </c>
      <c r="AK13" s="86" t="s">
        <v>285</v>
      </c>
    </row>
    <row r="14" spans="1:37" ht="14.5" x14ac:dyDescent="0.35">
      <c r="A14" s="87" t="s">
        <v>43</v>
      </c>
      <c r="B14" s="87" t="s">
        <v>44</v>
      </c>
      <c r="C14" s="88" t="s">
        <v>45</v>
      </c>
      <c r="D14" s="88" t="s">
        <v>45</v>
      </c>
      <c r="E14" s="88" t="s">
        <v>45</v>
      </c>
      <c r="F14" s="88" t="s">
        <v>45</v>
      </c>
      <c r="G14" s="88" t="s">
        <v>45</v>
      </c>
      <c r="H14" s="88" t="s">
        <v>45</v>
      </c>
      <c r="I14" s="88" t="s">
        <v>45</v>
      </c>
      <c r="J14" s="88" t="s">
        <v>45</v>
      </c>
      <c r="K14" s="88" t="s">
        <v>45</v>
      </c>
      <c r="L14" s="88" t="s">
        <v>45</v>
      </c>
      <c r="M14" s="88" t="s">
        <v>45</v>
      </c>
      <c r="N14" s="88" t="s">
        <v>45</v>
      </c>
      <c r="O14" s="88" t="s">
        <v>45</v>
      </c>
      <c r="P14" s="88" t="s">
        <v>45</v>
      </c>
      <c r="Q14" s="88" t="s">
        <v>45</v>
      </c>
      <c r="R14" s="88" t="s">
        <v>45</v>
      </c>
      <c r="S14" s="88" t="s">
        <v>45</v>
      </c>
      <c r="T14" s="88" t="s">
        <v>45</v>
      </c>
      <c r="U14" s="88" t="s">
        <v>45</v>
      </c>
      <c r="V14" s="88" t="s">
        <v>45</v>
      </c>
      <c r="W14" s="88" t="s">
        <v>45</v>
      </c>
      <c r="X14" s="88" t="s">
        <v>45</v>
      </c>
      <c r="Y14" s="88" t="s">
        <v>45</v>
      </c>
      <c r="Z14" s="88" t="s">
        <v>45</v>
      </c>
      <c r="AA14" s="88" t="s">
        <v>45</v>
      </c>
      <c r="AB14" s="88" t="s">
        <v>45</v>
      </c>
      <c r="AC14" s="88" t="s">
        <v>45</v>
      </c>
      <c r="AD14" s="88" t="s">
        <v>45</v>
      </c>
      <c r="AE14" s="88" t="s">
        <v>45</v>
      </c>
      <c r="AF14" s="88" t="s">
        <v>45</v>
      </c>
      <c r="AG14" s="88" t="s">
        <v>45</v>
      </c>
      <c r="AH14" s="88" t="s">
        <v>45</v>
      </c>
      <c r="AI14" s="88" t="s">
        <v>45</v>
      </c>
      <c r="AJ14" s="88" t="s">
        <v>45</v>
      </c>
      <c r="AK14" s="88" t="s">
        <v>45</v>
      </c>
    </row>
    <row r="15" spans="1:37" x14ac:dyDescent="0.25">
      <c r="A15" s="89" t="s">
        <v>88</v>
      </c>
      <c r="B15" s="89" t="s">
        <v>47</v>
      </c>
      <c r="C15" s="90">
        <v>40179</v>
      </c>
      <c r="D15" s="90">
        <v>38934.9</v>
      </c>
      <c r="E15" s="90">
        <v>38690.6</v>
      </c>
      <c r="F15" s="90">
        <v>38565.599999999999</v>
      </c>
      <c r="G15" s="90">
        <v>40102.699999999997</v>
      </c>
      <c r="H15" s="90">
        <v>39315.9</v>
      </c>
      <c r="I15" s="90">
        <v>38995.800000000003</v>
      </c>
      <c r="J15" s="90">
        <v>39962.199999999997</v>
      </c>
      <c r="K15" s="90">
        <v>39298.9</v>
      </c>
      <c r="L15" s="90">
        <v>40561.300000000003</v>
      </c>
      <c r="M15" s="90">
        <v>43871</v>
      </c>
      <c r="N15" s="90">
        <v>41905</v>
      </c>
      <c r="O15" s="90">
        <v>46800</v>
      </c>
      <c r="P15" s="90">
        <v>46864</v>
      </c>
      <c r="Q15" s="90">
        <v>46345</v>
      </c>
      <c r="R15" s="91">
        <v>45545.786</v>
      </c>
      <c r="S15" s="90">
        <v>42693.14</v>
      </c>
      <c r="T15" s="90">
        <v>40614.230000000003</v>
      </c>
      <c r="U15" s="91">
        <v>38034.385999999999</v>
      </c>
      <c r="V15" s="91">
        <v>34703.222999999998</v>
      </c>
      <c r="W15" s="91">
        <v>33185.002</v>
      </c>
      <c r="X15" s="91">
        <v>31460.978999999999</v>
      </c>
      <c r="Y15" s="91">
        <v>30224.902999999998</v>
      </c>
      <c r="Z15" s="91">
        <v>29391.375</v>
      </c>
      <c r="AA15" s="91">
        <v>29006.891</v>
      </c>
      <c r="AB15" s="91">
        <v>28201.078000000001</v>
      </c>
      <c r="AC15" s="91">
        <v>25211.285</v>
      </c>
      <c r="AD15" s="91">
        <v>25073.923999999999</v>
      </c>
      <c r="AE15" s="91">
        <v>24573.253000000001</v>
      </c>
      <c r="AF15" s="91">
        <v>22755.252</v>
      </c>
      <c r="AG15" s="91">
        <v>21445.329000000002</v>
      </c>
      <c r="AH15" s="91">
        <v>20209.433000000001</v>
      </c>
      <c r="AI15" s="90">
        <v>18838.68</v>
      </c>
      <c r="AJ15" s="91">
        <v>19057.030999999999</v>
      </c>
      <c r="AK15" s="16">
        <v>17981.281999999999</v>
      </c>
    </row>
    <row r="16" spans="1:37" x14ac:dyDescent="0.25">
      <c r="A16" s="89" t="s">
        <v>88</v>
      </c>
      <c r="B16" s="89" t="s">
        <v>49</v>
      </c>
      <c r="C16" s="92">
        <v>734076.41299999994</v>
      </c>
      <c r="D16" s="92">
        <v>717812.21900000004</v>
      </c>
      <c r="E16" s="92">
        <v>724229.21299999999</v>
      </c>
      <c r="F16" s="92">
        <v>728577.44200000004</v>
      </c>
      <c r="G16" s="92">
        <v>736509.90399999998</v>
      </c>
      <c r="H16" s="92">
        <v>735994.89500000002</v>
      </c>
      <c r="I16" s="92">
        <v>761875.65800000005</v>
      </c>
      <c r="J16" s="92">
        <v>773655.99899999995</v>
      </c>
      <c r="K16" s="92">
        <v>801986.04599999997</v>
      </c>
      <c r="L16" s="93">
        <v>770601.81</v>
      </c>
      <c r="M16" s="92">
        <v>792731.36399999994</v>
      </c>
      <c r="N16" s="92">
        <v>802352.24300000002</v>
      </c>
      <c r="O16" s="92">
        <v>796912.35199999996</v>
      </c>
      <c r="P16" s="92">
        <v>816005.21900000004</v>
      </c>
      <c r="Q16" s="92">
        <v>843240.47400000005</v>
      </c>
      <c r="R16" s="92">
        <v>867331.09299999999</v>
      </c>
      <c r="S16" s="92">
        <v>874177.473</v>
      </c>
      <c r="T16" s="92">
        <v>852561.90599999996</v>
      </c>
      <c r="U16" s="92">
        <v>866729.12899999996</v>
      </c>
      <c r="V16" s="92">
        <v>822409.11899999995</v>
      </c>
      <c r="W16" s="92">
        <v>830457.05700000003</v>
      </c>
      <c r="X16" s="92">
        <v>810816.42500000005</v>
      </c>
      <c r="Y16" s="92">
        <v>811036.17200000002</v>
      </c>
      <c r="Z16" s="92">
        <v>801133.18799999997</v>
      </c>
      <c r="AA16" s="92">
        <v>796775.40399999998</v>
      </c>
      <c r="AB16" s="92">
        <v>848637.19400000002</v>
      </c>
      <c r="AC16" s="92">
        <v>853437.68799999997</v>
      </c>
      <c r="AD16" s="92">
        <v>868406.99899999995</v>
      </c>
      <c r="AE16" s="92">
        <v>856723.98800000001</v>
      </c>
      <c r="AF16" s="92">
        <v>846962.23499999999</v>
      </c>
      <c r="AG16" s="92">
        <v>745108.41099999996</v>
      </c>
      <c r="AH16" s="92">
        <v>770747.59600000002</v>
      </c>
      <c r="AI16" s="92">
        <v>808887.10400000005</v>
      </c>
      <c r="AJ16" s="92">
        <v>785477.61399999994</v>
      </c>
      <c r="AK16" s="16">
        <v>790837.41599999997</v>
      </c>
    </row>
    <row r="17" spans="1:37" x14ac:dyDescent="0.25">
      <c r="A17" s="89" t="s">
        <v>88</v>
      </c>
      <c r="B17" s="89" t="s">
        <v>50</v>
      </c>
      <c r="C17" s="91">
        <v>189919.41800000001</v>
      </c>
      <c r="D17" s="91">
        <v>172739.90100000001</v>
      </c>
      <c r="E17" s="91">
        <v>175971.27299999999</v>
      </c>
      <c r="F17" s="90">
        <v>186644.8</v>
      </c>
      <c r="G17" s="91">
        <v>189489.057</v>
      </c>
      <c r="H17" s="91">
        <v>178508.45199999999</v>
      </c>
      <c r="I17" s="90">
        <v>186748</v>
      </c>
      <c r="J17" s="91">
        <v>194195.46400000001</v>
      </c>
      <c r="K17" s="90">
        <v>198974.4</v>
      </c>
      <c r="L17" s="91">
        <v>197937.704</v>
      </c>
      <c r="M17" s="91">
        <v>216892.989</v>
      </c>
      <c r="N17" s="91">
        <v>212488.50599999999</v>
      </c>
      <c r="O17" s="91">
        <v>214965.35399999999</v>
      </c>
      <c r="P17" s="91">
        <v>223444.28599999999</v>
      </c>
      <c r="Q17" s="91">
        <v>249698.69099999999</v>
      </c>
      <c r="R17" s="91">
        <v>267681.30099999998</v>
      </c>
      <c r="S17" s="91">
        <v>273457.56300000002</v>
      </c>
      <c r="T17" s="91">
        <v>269289.98800000001</v>
      </c>
      <c r="U17" s="91">
        <v>277622.99200000003</v>
      </c>
      <c r="V17" s="91">
        <v>273077.98700000002</v>
      </c>
      <c r="W17" s="91">
        <v>285079.636</v>
      </c>
      <c r="X17" s="91">
        <v>283128.35200000001</v>
      </c>
      <c r="Y17" s="91">
        <v>304709.16399999999</v>
      </c>
      <c r="Z17" s="91">
        <v>307444.897</v>
      </c>
      <c r="AA17" s="91">
        <v>308984.89399999997</v>
      </c>
      <c r="AB17" s="91">
        <v>341539.201</v>
      </c>
      <c r="AC17" s="91">
        <v>350855.82699999999</v>
      </c>
      <c r="AD17" s="91">
        <v>357793.43699999998</v>
      </c>
      <c r="AE17" s="91">
        <v>346301.93900000001</v>
      </c>
      <c r="AF17" s="91">
        <v>326132.82500000001</v>
      </c>
      <c r="AG17" s="91">
        <v>291668.02899999998</v>
      </c>
      <c r="AH17" s="91">
        <v>318470.33500000002</v>
      </c>
      <c r="AI17" s="91">
        <v>313723.94300000003</v>
      </c>
      <c r="AJ17" s="91">
        <v>314402.24900000001</v>
      </c>
      <c r="AK17" s="16">
        <v>314630.272</v>
      </c>
    </row>
    <row r="18" spans="1:37" x14ac:dyDescent="0.25">
      <c r="A18" s="89" t="s">
        <v>88</v>
      </c>
      <c r="B18" s="89" t="s">
        <v>89</v>
      </c>
      <c r="C18" s="92">
        <v>529267.32700000005</v>
      </c>
      <c r="D18" s="92">
        <v>536663.98300000001</v>
      </c>
      <c r="E18" s="92">
        <v>537195.65899999999</v>
      </c>
      <c r="F18" s="92">
        <v>530270.03700000001</v>
      </c>
      <c r="G18" s="92">
        <v>536855.18900000001</v>
      </c>
      <c r="H18" s="92">
        <v>545861.73600000003</v>
      </c>
      <c r="I18" s="92">
        <v>557638.83299999998</v>
      </c>
      <c r="J18" s="92">
        <v>562615.12399999995</v>
      </c>
      <c r="K18" s="92">
        <v>574527.21299999999</v>
      </c>
      <c r="L18" s="92">
        <v>566911.054</v>
      </c>
      <c r="M18" s="92">
        <v>559736.18500000006</v>
      </c>
      <c r="N18" s="92">
        <v>569350.15599999996</v>
      </c>
      <c r="O18" s="92">
        <v>565253.23800000001</v>
      </c>
      <c r="P18" s="93">
        <v>569459.28</v>
      </c>
      <c r="Q18" s="92">
        <v>571454.978</v>
      </c>
      <c r="R18" s="92">
        <v>570756.70299999998</v>
      </c>
      <c r="S18" s="92">
        <v>570661.84199999995</v>
      </c>
      <c r="T18" s="92">
        <v>556466.45299999998</v>
      </c>
      <c r="U18" s="92">
        <v>553267.84299999999</v>
      </c>
      <c r="V18" s="92">
        <v>524432.26100000006</v>
      </c>
      <c r="W18" s="92">
        <v>525091.39399999997</v>
      </c>
      <c r="X18" s="92">
        <v>511841.174</v>
      </c>
      <c r="Y18" s="93">
        <v>494744.66600000003</v>
      </c>
      <c r="Z18" s="92">
        <v>480987.859</v>
      </c>
      <c r="AA18" s="92">
        <v>478063.41</v>
      </c>
      <c r="AB18" s="93">
        <v>485001.40399999998</v>
      </c>
      <c r="AC18" s="93">
        <v>488718.13099999999</v>
      </c>
      <c r="AD18" s="92">
        <v>501026.02500000002</v>
      </c>
      <c r="AE18" s="92">
        <v>496825.58100000001</v>
      </c>
      <c r="AF18" s="92">
        <v>498114.35399999999</v>
      </c>
      <c r="AG18" s="92">
        <v>438350.24599999998</v>
      </c>
      <c r="AH18" s="92">
        <v>461104.45299999998</v>
      </c>
      <c r="AI18" s="92">
        <v>473022.17800000001</v>
      </c>
      <c r="AJ18" s="94">
        <v>463027.86900000001</v>
      </c>
      <c r="AK18" s="16" t="s">
        <v>255</v>
      </c>
    </row>
    <row r="19" spans="1:37" x14ac:dyDescent="0.25">
      <c r="A19" s="89" t="s">
        <v>88</v>
      </c>
      <c r="B19" s="89" t="s">
        <v>90</v>
      </c>
      <c r="C19" s="91">
        <v>529837.696</v>
      </c>
      <c r="D19" s="91">
        <v>534957.29099999997</v>
      </c>
      <c r="E19" s="91">
        <v>530830.49100000004</v>
      </c>
      <c r="F19" s="91">
        <v>529688.86800000002</v>
      </c>
      <c r="G19" s="91">
        <v>530928.96299999999</v>
      </c>
      <c r="H19" s="91">
        <v>541363.44299999997</v>
      </c>
      <c r="I19" s="91">
        <v>554488.45799999998</v>
      </c>
      <c r="J19" s="91">
        <v>559088.03500000003</v>
      </c>
      <c r="K19" s="91">
        <v>572838.04599999997</v>
      </c>
      <c r="L19" s="91">
        <v>563406.63399999996</v>
      </c>
      <c r="M19" s="91">
        <v>552553.71900000004</v>
      </c>
      <c r="N19" s="91">
        <v>569386.62300000002</v>
      </c>
      <c r="O19" s="90">
        <v>565183.14</v>
      </c>
      <c r="P19" s="91">
        <v>568523.66299999994</v>
      </c>
      <c r="Q19" s="91">
        <v>569602.60600000003</v>
      </c>
      <c r="R19" s="91">
        <v>565761.69799999997</v>
      </c>
      <c r="S19" s="90">
        <v>566898.09</v>
      </c>
      <c r="T19" s="91">
        <v>551361.30700000003</v>
      </c>
      <c r="U19" s="91">
        <v>554235.60199999996</v>
      </c>
      <c r="V19" s="91">
        <v>527057.46299999999</v>
      </c>
      <c r="W19" s="91">
        <v>526678.38500000001</v>
      </c>
      <c r="X19" s="91">
        <v>513824.13099999999</v>
      </c>
      <c r="Y19" s="90">
        <v>494098.24</v>
      </c>
      <c r="Z19" s="91">
        <v>478723.11200000002</v>
      </c>
      <c r="AA19" s="91">
        <v>477887.50400000002</v>
      </c>
      <c r="AB19" s="91">
        <v>485043.712</v>
      </c>
      <c r="AC19" s="91">
        <v>488400.76500000001</v>
      </c>
      <c r="AD19" s="91">
        <v>503819.47200000001</v>
      </c>
      <c r="AE19" s="91">
        <v>499898.22100000002</v>
      </c>
      <c r="AF19" s="91">
        <v>499840.19500000001</v>
      </c>
      <c r="AG19" s="91">
        <v>438262.11499999999</v>
      </c>
      <c r="AH19" s="91">
        <v>457929.14899999998</v>
      </c>
      <c r="AI19" s="91">
        <v>468005.63</v>
      </c>
      <c r="AJ19" s="90">
        <v>463366.46399999998</v>
      </c>
      <c r="AK19" s="16">
        <v>456583.88299999997</v>
      </c>
    </row>
    <row r="20" spans="1:37" x14ac:dyDescent="0.25">
      <c r="A20" s="89" t="s">
        <v>88</v>
      </c>
      <c r="B20" s="89" t="s">
        <v>91</v>
      </c>
      <c r="C20" s="92">
        <v>529267.32700000005</v>
      </c>
      <c r="D20" s="92">
        <v>536663.98300000001</v>
      </c>
      <c r="E20" s="92">
        <v>537195.65899999999</v>
      </c>
      <c r="F20" s="92">
        <v>530270.03700000001</v>
      </c>
      <c r="G20" s="92">
        <v>536855.18900000001</v>
      </c>
      <c r="H20" s="92">
        <v>545861.73600000003</v>
      </c>
      <c r="I20" s="92">
        <v>557638.83299999998</v>
      </c>
      <c r="J20" s="92">
        <v>562615.12399999995</v>
      </c>
      <c r="K20" s="92">
        <v>574527.21299999999</v>
      </c>
      <c r="L20" s="92">
        <v>566911.054</v>
      </c>
      <c r="M20" s="92">
        <v>559736.18500000006</v>
      </c>
      <c r="N20" s="92">
        <v>569350.15599999996</v>
      </c>
      <c r="O20" s="92">
        <v>565253.23800000001</v>
      </c>
      <c r="P20" s="93">
        <v>569459.28</v>
      </c>
      <c r="Q20" s="92">
        <v>571454.978</v>
      </c>
      <c r="R20" s="92">
        <v>570756.70299999998</v>
      </c>
      <c r="S20" s="92">
        <v>570661.84199999995</v>
      </c>
      <c r="T20" s="92">
        <v>556466.45299999998</v>
      </c>
      <c r="U20" s="92">
        <v>553267.84299999999</v>
      </c>
      <c r="V20" s="92">
        <v>524432.26100000006</v>
      </c>
      <c r="W20" s="92">
        <v>525091.39399999997</v>
      </c>
      <c r="X20" s="92">
        <v>511841.174</v>
      </c>
      <c r="Y20" s="93">
        <v>494744.66600000003</v>
      </c>
      <c r="Z20" s="92">
        <v>480987.859</v>
      </c>
      <c r="AA20" s="92">
        <v>478063.41</v>
      </c>
      <c r="AB20" s="93">
        <v>485001.40399999998</v>
      </c>
      <c r="AC20" s="93">
        <v>488718.13099999999</v>
      </c>
      <c r="AD20" s="92">
        <v>501026.02500000002</v>
      </c>
      <c r="AE20" s="92">
        <v>496825.58100000001</v>
      </c>
      <c r="AF20" s="92">
        <v>498114.35399999999</v>
      </c>
      <c r="AG20" s="92">
        <v>438261.59100000001</v>
      </c>
      <c r="AH20" s="92">
        <v>461104.45299999998</v>
      </c>
      <c r="AI20" s="92">
        <v>473022.17800000001</v>
      </c>
      <c r="AJ20" s="94">
        <v>463027.86900000001</v>
      </c>
      <c r="AK20" s="16" t="s">
        <v>255</v>
      </c>
    </row>
    <row r="21" spans="1:37" x14ac:dyDescent="0.25">
      <c r="A21" s="89" t="s">
        <v>92</v>
      </c>
      <c r="B21" s="89" t="s">
        <v>47</v>
      </c>
      <c r="C21" s="90">
        <v>40179</v>
      </c>
      <c r="D21" s="90">
        <v>38934.9</v>
      </c>
      <c r="E21" s="90">
        <v>38690.6</v>
      </c>
      <c r="F21" s="90">
        <v>38565.599999999999</v>
      </c>
      <c r="G21" s="90">
        <v>40102.699999999997</v>
      </c>
      <c r="H21" s="90">
        <v>39315.9</v>
      </c>
      <c r="I21" s="90">
        <v>38995.800000000003</v>
      </c>
      <c r="J21" s="90">
        <v>39962.199999999997</v>
      </c>
      <c r="K21" s="90">
        <v>39298.9</v>
      </c>
      <c r="L21" s="90">
        <v>40561.300000000003</v>
      </c>
      <c r="M21" s="90">
        <v>43871</v>
      </c>
      <c r="N21" s="90">
        <v>41905</v>
      </c>
      <c r="O21" s="90">
        <v>46800</v>
      </c>
      <c r="P21" s="90">
        <v>46864</v>
      </c>
      <c r="Q21" s="90">
        <v>46345</v>
      </c>
      <c r="R21" s="91">
        <v>45545.786</v>
      </c>
      <c r="S21" s="90">
        <v>42693.14</v>
      </c>
      <c r="T21" s="90">
        <v>40614.230000000003</v>
      </c>
      <c r="U21" s="91">
        <v>38034.385999999999</v>
      </c>
      <c r="V21" s="91">
        <v>34703.222999999998</v>
      </c>
      <c r="W21" s="91">
        <v>33185.002</v>
      </c>
      <c r="X21" s="91">
        <v>31460.978999999999</v>
      </c>
      <c r="Y21" s="91">
        <v>30224.902999999998</v>
      </c>
      <c r="Z21" s="91">
        <v>29391.375</v>
      </c>
      <c r="AA21" s="91">
        <v>29006.891</v>
      </c>
      <c r="AB21" s="91">
        <v>28201.078000000001</v>
      </c>
      <c r="AC21" s="91">
        <v>25211.285</v>
      </c>
      <c r="AD21" s="91">
        <v>25073.923999999999</v>
      </c>
      <c r="AE21" s="91">
        <v>24573.253000000001</v>
      </c>
      <c r="AF21" s="91">
        <v>22755.252</v>
      </c>
      <c r="AG21" s="91">
        <v>21445.329000000002</v>
      </c>
      <c r="AH21" s="91">
        <v>20209.433000000001</v>
      </c>
      <c r="AI21" s="90">
        <v>18838.68</v>
      </c>
      <c r="AJ21" s="91">
        <v>19057.030999999999</v>
      </c>
      <c r="AK21" s="16">
        <v>17981.281999999999</v>
      </c>
    </row>
    <row r="22" spans="1:37" x14ac:dyDescent="0.25">
      <c r="A22" s="89" t="s">
        <v>92</v>
      </c>
      <c r="B22" s="89" t="s">
        <v>49</v>
      </c>
      <c r="C22" s="92">
        <v>734076.41299999994</v>
      </c>
      <c r="D22" s="92">
        <v>717812.21900000004</v>
      </c>
      <c r="E22" s="92">
        <v>724229.21299999999</v>
      </c>
      <c r="F22" s="92">
        <v>728577.44200000004</v>
      </c>
      <c r="G22" s="92">
        <v>736509.90399999998</v>
      </c>
      <c r="H22" s="92">
        <v>735994.89500000002</v>
      </c>
      <c r="I22" s="92">
        <v>761875.65800000005</v>
      </c>
      <c r="J22" s="92">
        <v>773655.99899999995</v>
      </c>
      <c r="K22" s="92">
        <v>801986.04599999997</v>
      </c>
      <c r="L22" s="93">
        <v>770601.81</v>
      </c>
      <c r="M22" s="92">
        <v>792731.36399999994</v>
      </c>
      <c r="N22" s="92">
        <v>802352.24300000002</v>
      </c>
      <c r="O22" s="92">
        <v>796912.35199999996</v>
      </c>
      <c r="P22" s="92">
        <v>816005.21900000004</v>
      </c>
      <c r="Q22" s="92">
        <v>843240.47400000005</v>
      </c>
      <c r="R22" s="92">
        <v>867306.64899999998</v>
      </c>
      <c r="S22" s="92">
        <v>873969.36300000001</v>
      </c>
      <c r="T22" s="92">
        <v>852291.33100000001</v>
      </c>
      <c r="U22" s="92">
        <v>866360.98100000003</v>
      </c>
      <c r="V22" s="92">
        <v>821819.22400000005</v>
      </c>
      <c r="W22" s="92">
        <v>829794.03899999999</v>
      </c>
      <c r="X22" s="92">
        <v>809942.34600000002</v>
      </c>
      <c r="Y22" s="92">
        <v>810311.62399999995</v>
      </c>
      <c r="Z22" s="92">
        <v>800522.53700000001</v>
      </c>
      <c r="AA22" s="92">
        <v>796084.97400000005</v>
      </c>
      <c r="AB22" s="92">
        <v>847870.97400000005</v>
      </c>
      <c r="AC22" s="92">
        <v>852645.13399999996</v>
      </c>
      <c r="AD22" s="92">
        <v>867454.61100000003</v>
      </c>
      <c r="AE22" s="92">
        <v>855690.50800000003</v>
      </c>
      <c r="AF22" s="92">
        <v>845785.12100000004</v>
      </c>
      <c r="AG22" s="92">
        <v>743881.25100000005</v>
      </c>
      <c r="AH22" s="92">
        <v>769496.41099999996</v>
      </c>
      <c r="AI22" s="92">
        <v>807653.68900000001</v>
      </c>
      <c r="AJ22" s="92">
        <v>784227.26</v>
      </c>
      <c r="AK22" s="16">
        <v>789495.98400000005</v>
      </c>
    </row>
    <row r="23" spans="1:37" x14ac:dyDescent="0.25">
      <c r="A23" s="89" t="s">
        <v>92</v>
      </c>
      <c r="B23" s="89" t="s">
        <v>50</v>
      </c>
      <c r="C23" s="91">
        <v>189919.41800000001</v>
      </c>
      <c r="D23" s="91">
        <v>172739.90100000001</v>
      </c>
      <c r="E23" s="91">
        <v>175971.27299999999</v>
      </c>
      <c r="F23" s="90">
        <v>186644.8</v>
      </c>
      <c r="G23" s="91">
        <v>189489.057</v>
      </c>
      <c r="H23" s="91">
        <v>178508.45199999999</v>
      </c>
      <c r="I23" s="90">
        <v>186748</v>
      </c>
      <c r="J23" s="91">
        <v>194195.46400000001</v>
      </c>
      <c r="K23" s="90">
        <v>198974.4</v>
      </c>
      <c r="L23" s="91">
        <v>197937.704</v>
      </c>
      <c r="M23" s="91">
        <v>216892.989</v>
      </c>
      <c r="N23" s="91">
        <v>212488.50599999999</v>
      </c>
      <c r="O23" s="91">
        <v>214965.35399999999</v>
      </c>
      <c r="P23" s="91">
        <v>223444.28599999999</v>
      </c>
      <c r="Q23" s="91">
        <v>249698.69099999999</v>
      </c>
      <c r="R23" s="90">
        <v>267681.19</v>
      </c>
      <c r="S23" s="91">
        <v>273380.266</v>
      </c>
      <c r="T23" s="91">
        <v>269217.28899999999</v>
      </c>
      <c r="U23" s="91">
        <v>277238.05499999999</v>
      </c>
      <c r="V23" s="91">
        <v>272645.99800000002</v>
      </c>
      <c r="W23" s="91">
        <v>284677.94500000001</v>
      </c>
      <c r="X23" s="90">
        <v>282673.40000000002</v>
      </c>
      <c r="Y23" s="91">
        <v>304183.08199999999</v>
      </c>
      <c r="Z23" s="91">
        <v>306942.11800000002</v>
      </c>
      <c r="AA23" s="91">
        <v>308527.66600000003</v>
      </c>
      <c r="AB23" s="91">
        <v>341038.96</v>
      </c>
      <c r="AC23" s="91">
        <v>350295.53700000001</v>
      </c>
      <c r="AD23" s="90">
        <v>357189.26799999998</v>
      </c>
      <c r="AE23" s="91">
        <v>345550.614</v>
      </c>
      <c r="AF23" s="91">
        <v>325266.37</v>
      </c>
      <c r="AG23" s="90">
        <v>290734.348</v>
      </c>
      <c r="AH23" s="91">
        <v>317638.55</v>
      </c>
      <c r="AI23" s="91">
        <v>312869.06</v>
      </c>
      <c r="AJ23" s="91">
        <v>313638.288</v>
      </c>
      <c r="AK23" s="16">
        <v>313755.45600000001</v>
      </c>
    </row>
    <row r="24" spans="1:37" x14ac:dyDescent="0.25">
      <c r="A24" s="89" t="s">
        <v>92</v>
      </c>
      <c r="B24" s="89" t="s">
        <v>89</v>
      </c>
      <c r="C24" s="92">
        <v>529267.32700000005</v>
      </c>
      <c r="D24" s="92">
        <v>536663.98300000001</v>
      </c>
      <c r="E24" s="92">
        <v>537183.65899999999</v>
      </c>
      <c r="F24" s="92">
        <v>530218.03700000001</v>
      </c>
      <c r="G24" s="92">
        <v>536724.18900000001</v>
      </c>
      <c r="H24" s="92">
        <v>545657.73600000003</v>
      </c>
      <c r="I24" s="92">
        <v>557334.83299999998</v>
      </c>
      <c r="J24" s="92">
        <v>562215.12399999995</v>
      </c>
      <c r="K24" s="92">
        <v>574163.21299999999</v>
      </c>
      <c r="L24" s="92">
        <v>566530.054</v>
      </c>
      <c r="M24" s="92">
        <v>559192.18500000006</v>
      </c>
      <c r="N24" s="92">
        <v>568770.15599999996</v>
      </c>
      <c r="O24" s="92">
        <v>564529.23800000001</v>
      </c>
      <c r="P24" s="93">
        <v>568600.28</v>
      </c>
      <c r="Q24" s="92">
        <v>569938.978</v>
      </c>
      <c r="R24" s="92">
        <v>568189.31900000002</v>
      </c>
      <c r="S24" s="92">
        <v>566886.07700000005</v>
      </c>
      <c r="T24" s="92">
        <v>550303.55099999998</v>
      </c>
      <c r="U24" s="92">
        <v>543846.10699999996</v>
      </c>
      <c r="V24" s="92">
        <v>512137.20400000003</v>
      </c>
      <c r="W24" s="92">
        <v>511092.82500000001</v>
      </c>
      <c r="X24" s="92">
        <v>496900.51299999998</v>
      </c>
      <c r="Y24" s="92">
        <v>478754.31599999999</v>
      </c>
      <c r="Z24" s="92">
        <v>466632.89399999997</v>
      </c>
      <c r="AA24" s="92">
        <v>462779.95500000002</v>
      </c>
      <c r="AB24" s="92">
        <v>469719.20799999998</v>
      </c>
      <c r="AC24" s="92">
        <v>473550.23800000001</v>
      </c>
      <c r="AD24" s="92">
        <v>484764.348</v>
      </c>
      <c r="AE24" s="92">
        <v>478735.83399999997</v>
      </c>
      <c r="AF24" s="92">
        <v>479302.54300000001</v>
      </c>
      <c r="AG24" s="92">
        <v>419364.1</v>
      </c>
      <c r="AH24" s="92">
        <v>441179.64500000002</v>
      </c>
      <c r="AI24" s="92">
        <v>452948.44900000002</v>
      </c>
      <c r="AJ24" s="94">
        <v>442044.141</v>
      </c>
      <c r="AK24" s="16" t="s">
        <v>255</v>
      </c>
    </row>
    <row r="25" spans="1:37" x14ac:dyDescent="0.25">
      <c r="A25" s="89" t="s">
        <v>92</v>
      </c>
      <c r="B25" s="89" t="s">
        <v>90</v>
      </c>
      <c r="C25" s="91">
        <v>529837.696</v>
      </c>
      <c r="D25" s="91">
        <v>534957.29099999997</v>
      </c>
      <c r="E25" s="91">
        <v>530818.49100000004</v>
      </c>
      <c r="F25" s="91">
        <v>529636.86800000002</v>
      </c>
      <c r="G25" s="91">
        <v>530797.96299999999</v>
      </c>
      <c r="H25" s="91">
        <v>541159.44299999997</v>
      </c>
      <c r="I25" s="91">
        <v>554184.45799999998</v>
      </c>
      <c r="J25" s="91">
        <v>558688.03500000003</v>
      </c>
      <c r="K25" s="91">
        <v>572474.04599999997</v>
      </c>
      <c r="L25" s="91">
        <v>563025.63399999996</v>
      </c>
      <c r="M25" s="91">
        <v>552009.71900000004</v>
      </c>
      <c r="N25" s="91">
        <v>568806.62300000002</v>
      </c>
      <c r="O25" s="90">
        <v>564459.14</v>
      </c>
      <c r="P25" s="91">
        <v>567664.66299999994</v>
      </c>
      <c r="Q25" s="91">
        <v>568086.60600000003</v>
      </c>
      <c r="R25" s="91">
        <v>563178.40500000003</v>
      </c>
      <c r="S25" s="90">
        <v>563118.98</v>
      </c>
      <c r="T25" s="91">
        <v>545328.66899999999</v>
      </c>
      <c r="U25" s="91">
        <v>544846.19900000002</v>
      </c>
      <c r="V25" s="91">
        <v>514731.17499999999</v>
      </c>
      <c r="W25" s="91">
        <v>512663.71799999999</v>
      </c>
      <c r="X25" s="91">
        <v>498838.31199999998</v>
      </c>
      <c r="Y25" s="91">
        <v>478083.41200000001</v>
      </c>
      <c r="Z25" s="90">
        <v>464440.17</v>
      </c>
      <c r="AA25" s="91">
        <v>462786.038</v>
      </c>
      <c r="AB25" s="91">
        <v>469828.77500000002</v>
      </c>
      <c r="AC25" s="91">
        <v>473400.81300000002</v>
      </c>
      <c r="AD25" s="91">
        <v>487254.42300000001</v>
      </c>
      <c r="AE25" s="90">
        <v>482026.68699999998</v>
      </c>
      <c r="AF25" s="91">
        <v>480996.755</v>
      </c>
      <c r="AG25" s="91">
        <v>419594.57699999999</v>
      </c>
      <c r="AH25" s="91">
        <v>438044.40500000003</v>
      </c>
      <c r="AI25" s="91">
        <v>448540.95899999997</v>
      </c>
      <c r="AJ25" s="90">
        <v>442305.38199999998</v>
      </c>
      <c r="AK25" s="16">
        <v>437373.41800000001</v>
      </c>
    </row>
    <row r="26" spans="1:37" x14ac:dyDescent="0.25">
      <c r="A26" s="89" t="s">
        <v>92</v>
      </c>
      <c r="B26" s="89" t="s">
        <v>91</v>
      </c>
      <c r="C26" s="92">
        <v>529267.32700000005</v>
      </c>
      <c r="D26" s="92">
        <v>536663.98300000001</v>
      </c>
      <c r="E26" s="92">
        <v>537183.65899999999</v>
      </c>
      <c r="F26" s="92">
        <v>530218.03700000001</v>
      </c>
      <c r="G26" s="92">
        <v>536724.18900000001</v>
      </c>
      <c r="H26" s="92">
        <v>545657.73600000003</v>
      </c>
      <c r="I26" s="92">
        <v>557334.83299999998</v>
      </c>
      <c r="J26" s="92">
        <v>562215.12399999995</v>
      </c>
      <c r="K26" s="92">
        <v>574163.21299999999</v>
      </c>
      <c r="L26" s="92">
        <v>566530.054</v>
      </c>
      <c r="M26" s="92">
        <v>559192.18500000006</v>
      </c>
      <c r="N26" s="92">
        <v>568770.15599999996</v>
      </c>
      <c r="O26" s="92">
        <v>564529.23800000001</v>
      </c>
      <c r="P26" s="93">
        <v>568600.28</v>
      </c>
      <c r="Q26" s="92">
        <v>569938.978</v>
      </c>
      <c r="R26" s="92">
        <v>568189.31900000002</v>
      </c>
      <c r="S26" s="92">
        <v>566886.07700000005</v>
      </c>
      <c r="T26" s="92">
        <v>550303.55099999998</v>
      </c>
      <c r="U26" s="92">
        <v>543846.10699999996</v>
      </c>
      <c r="V26" s="92">
        <v>512137.20400000003</v>
      </c>
      <c r="W26" s="92">
        <v>511092.82500000001</v>
      </c>
      <c r="X26" s="92">
        <v>496900.51299999998</v>
      </c>
      <c r="Y26" s="92">
        <v>478754.31599999999</v>
      </c>
      <c r="Z26" s="92">
        <v>466632.89399999997</v>
      </c>
      <c r="AA26" s="92">
        <v>462779.95500000002</v>
      </c>
      <c r="AB26" s="92">
        <v>469719.20799999998</v>
      </c>
      <c r="AC26" s="92">
        <v>473550.23800000001</v>
      </c>
      <c r="AD26" s="92">
        <v>484764.348</v>
      </c>
      <c r="AE26" s="92">
        <v>478735.83399999997</v>
      </c>
      <c r="AF26" s="92">
        <v>479302.54300000001</v>
      </c>
      <c r="AG26" s="92">
        <v>419275.44500000001</v>
      </c>
      <c r="AH26" s="92">
        <v>441179.64500000002</v>
      </c>
      <c r="AI26" s="92">
        <v>452948.44900000002</v>
      </c>
      <c r="AJ26" s="94">
        <v>442044.141</v>
      </c>
      <c r="AK26" s="16" t="s">
        <v>255</v>
      </c>
    </row>
    <row r="27" spans="1:37" x14ac:dyDescent="0.25">
      <c r="A27" s="89" t="s">
        <v>93</v>
      </c>
      <c r="B27" s="89" t="s">
        <v>47</v>
      </c>
      <c r="C27" s="95" t="s">
        <v>255</v>
      </c>
      <c r="D27" s="95" t="s">
        <v>255</v>
      </c>
      <c r="E27" s="95" t="s">
        <v>255</v>
      </c>
      <c r="F27" s="95" t="s">
        <v>255</v>
      </c>
      <c r="G27" s="95" t="s">
        <v>255</v>
      </c>
      <c r="H27" s="95" t="s">
        <v>255</v>
      </c>
      <c r="I27" s="95" t="s">
        <v>255</v>
      </c>
      <c r="J27" s="95" t="s">
        <v>255</v>
      </c>
      <c r="K27" s="95" t="s">
        <v>255</v>
      </c>
      <c r="L27" s="95" t="s">
        <v>255</v>
      </c>
      <c r="M27" s="95" t="s">
        <v>255</v>
      </c>
      <c r="N27" s="95" t="s">
        <v>255</v>
      </c>
      <c r="O27" s="95" t="s">
        <v>255</v>
      </c>
      <c r="P27" s="95" t="s">
        <v>255</v>
      </c>
      <c r="Q27" s="95" t="s">
        <v>255</v>
      </c>
      <c r="R27" s="95" t="s">
        <v>255</v>
      </c>
      <c r="S27" s="95" t="s">
        <v>255</v>
      </c>
      <c r="T27" s="95" t="s">
        <v>255</v>
      </c>
      <c r="U27" s="95" t="s">
        <v>255</v>
      </c>
      <c r="V27" s="95" t="s">
        <v>255</v>
      </c>
      <c r="W27" s="95" t="s">
        <v>255</v>
      </c>
      <c r="X27" s="95" t="s">
        <v>255</v>
      </c>
      <c r="Y27" s="95" t="s">
        <v>255</v>
      </c>
      <c r="Z27" s="95" t="s">
        <v>255</v>
      </c>
      <c r="AA27" s="95" t="s">
        <v>255</v>
      </c>
      <c r="AB27" s="95" t="s">
        <v>255</v>
      </c>
      <c r="AC27" s="95" t="s">
        <v>255</v>
      </c>
      <c r="AD27" s="95" t="s">
        <v>255</v>
      </c>
      <c r="AE27" s="95" t="s">
        <v>255</v>
      </c>
      <c r="AF27" s="95" t="s">
        <v>255</v>
      </c>
      <c r="AG27" s="95" t="s">
        <v>255</v>
      </c>
      <c r="AH27" s="95" t="s">
        <v>255</v>
      </c>
      <c r="AI27" s="95" t="s">
        <v>255</v>
      </c>
      <c r="AJ27" s="95" t="s">
        <v>255</v>
      </c>
      <c r="AK27" s="16" t="s">
        <v>255</v>
      </c>
    </row>
    <row r="28" spans="1:37" x14ac:dyDescent="0.25">
      <c r="A28" s="89" t="s">
        <v>93</v>
      </c>
      <c r="B28" s="89" t="s">
        <v>49</v>
      </c>
      <c r="C28" s="92">
        <v>205762.777</v>
      </c>
      <c r="D28" s="92">
        <v>204465.101</v>
      </c>
      <c r="E28" s="92">
        <v>198926.095</v>
      </c>
      <c r="F28" s="92">
        <v>201745.587</v>
      </c>
      <c r="G28" s="92">
        <v>195193.61300000001</v>
      </c>
      <c r="H28" s="93">
        <v>196093.44</v>
      </c>
      <c r="I28" s="92">
        <v>206548.26699999999</v>
      </c>
      <c r="J28" s="92">
        <v>206672.07199999999</v>
      </c>
      <c r="K28" s="92">
        <v>209434.08199999999</v>
      </c>
      <c r="L28" s="92">
        <v>209376.383</v>
      </c>
      <c r="M28" s="92">
        <v>219735.182</v>
      </c>
      <c r="N28" s="92">
        <v>226906.698</v>
      </c>
      <c r="O28" s="92">
        <v>235167.261</v>
      </c>
      <c r="P28" s="93">
        <v>237100.31</v>
      </c>
      <c r="Q28" s="92">
        <v>250959.019</v>
      </c>
      <c r="R28" s="92">
        <v>272267.26299999998</v>
      </c>
      <c r="S28" s="92">
        <v>279379.66600000003</v>
      </c>
      <c r="T28" s="93">
        <v>265494.51</v>
      </c>
      <c r="U28" s="92">
        <v>278644.076</v>
      </c>
      <c r="V28" s="92">
        <v>279399.30099999998</v>
      </c>
      <c r="W28" s="93">
        <v>290841.96999999997</v>
      </c>
      <c r="X28" s="93">
        <v>289276.77</v>
      </c>
      <c r="Y28" s="92">
        <v>281785.02899999998</v>
      </c>
      <c r="Z28" s="92">
        <v>289994.13400000002</v>
      </c>
      <c r="AA28" s="92">
        <v>287816.44400000002</v>
      </c>
      <c r="AB28" s="92">
        <v>306129.29399999999</v>
      </c>
      <c r="AC28" s="92">
        <v>317325.63799999998</v>
      </c>
      <c r="AD28" s="93">
        <v>318602.554</v>
      </c>
      <c r="AE28" s="92">
        <v>317536.70600000001</v>
      </c>
      <c r="AF28" s="92">
        <v>316619.59000000003</v>
      </c>
      <c r="AG28" s="92">
        <v>280797.21399999998</v>
      </c>
      <c r="AH28" s="92">
        <v>297062.89</v>
      </c>
      <c r="AI28" s="92">
        <v>301680.68400000001</v>
      </c>
      <c r="AJ28" s="92">
        <v>288398.07699999999</v>
      </c>
      <c r="AK28" s="16">
        <v>293457.53200000001</v>
      </c>
    </row>
    <row r="29" spans="1:37" x14ac:dyDescent="0.25">
      <c r="A29" s="89" t="s">
        <v>93</v>
      </c>
      <c r="B29" s="89" t="s">
        <v>50</v>
      </c>
      <c r="C29" s="91">
        <v>172029.236</v>
      </c>
      <c r="D29" s="91">
        <v>161910.30100000001</v>
      </c>
      <c r="E29" s="91">
        <v>162558.973</v>
      </c>
      <c r="F29" s="90">
        <v>172777.2</v>
      </c>
      <c r="G29" s="91">
        <v>173963.65700000001</v>
      </c>
      <c r="H29" s="91">
        <v>165552.152</v>
      </c>
      <c r="I29" s="90">
        <v>172571</v>
      </c>
      <c r="J29" s="91">
        <v>176748.264</v>
      </c>
      <c r="K29" s="90">
        <v>183296.5</v>
      </c>
      <c r="L29" s="91">
        <v>178588.50399999999</v>
      </c>
      <c r="M29" s="91">
        <v>192468.989</v>
      </c>
      <c r="N29" s="91">
        <v>194212.50599999999</v>
      </c>
      <c r="O29" s="91">
        <v>193806.35399999999</v>
      </c>
      <c r="P29" s="91">
        <v>201273.28599999999</v>
      </c>
      <c r="Q29" s="91">
        <v>225604.69099999999</v>
      </c>
      <c r="R29" s="91">
        <v>244421.46299999999</v>
      </c>
      <c r="S29" s="91">
        <v>252494.351</v>
      </c>
      <c r="T29" s="90">
        <v>248766.93</v>
      </c>
      <c r="U29" s="91">
        <v>258741.43299999999</v>
      </c>
      <c r="V29" s="91">
        <v>254742.10200000001</v>
      </c>
      <c r="W29" s="91">
        <v>266747.07400000002</v>
      </c>
      <c r="X29" s="91">
        <v>266963.84399999998</v>
      </c>
      <c r="Y29" s="91">
        <v>286903.00400000002</v>
      </c>
      <c r="Z29" s="91">
        <v>289812.65399999998</v>
      </c>
      <c r="AA29" s="91">
        <v>291757.89399999997</v>
      </c>
      <c r="AB29" s="91">
        <v>325324.77399999998</v>
      </c>
      <c r="AC29" s="91">
        <v>335013.65399999998</v>
      </c>
      <c r="AD29" s="91">
        <v>341222.54599999997</v>
      </c>
      <c r="AE29" s="90">
        <v>331498.87</v>
      </c>
      <c r="AF29" s="91">
        <v>312671.70600000001</v>
      </c>
      <c r="AG29" s="91">
        <v>278469.98599999998</v>
      </c>
      <c r="AH29" s="90">
        <v>304474.011</v>
      </c>
      <c r="AI29" s="91">
        <v>301431.63199999998</v>
      </c>
      <c r="AJ29" s="91">
        <v>299995.87099999998</v>
      </c>
      <c r="AK29" s="16">
        <v>303354.82400000002</v>
      </c>
    </row>
    <row r="30" spans="1:37" x14ac:dyDescent="0.25">
      <c r="A30" s="89" t="s">
        <v>93</v>
      </c>
      <c r="B30" s="89" t="s">
        <v>89</v>
      </c>
      <c r="C30" s="92">
        <v>525765.87199999997</v>
      </c>
      <c r="D30" s="92">
        <v>533376.89199999999</v>
      </c>
      <c r="E30" s="92">
        <v>533891.84100000001</v>
      </c>
      <c r="F30" s="92">
        <v>526051.58200000005</v>
      </c>
      <c r="G30" s="92">
        <v>532563.098</v>
      </c>
      <c r="H30" s="92">
        <v>542148.28099999996</v>
      </c>
      <c r="I30" s="92">
        <v>554195.74199999997</v>
      </c>
      <c r="J30" s="92">
        <v>558666.397</v>
      </c>
      <c r="K30" s="92">
        <v>570474.84900000005</v>
      </c>
      <c r="L30" s="92">
        <v>562708.59900000005</v>
      </c>
      <c r="M30" s="92">
        <v>555149.00300000003</v>
      </c>
      <c r="N30" s="92">
        <v>564849.61100000003</v>
      </c>
      <c r="O30" s="92">
        <v>559823.87399999995</v>
      </c>
      <c r="P30" s="92">
        <v>564642.098</v>
      </c>
      <c r="Q30" s="92">
        <v>566656.25100000005</v>
      </c>
      <c r="R30" s="93">
        <v>565772.43000000005</v>
      </c>
      <c r="S30" s="92">
        <v>565398.84199999995</v>
      </c>
      <c r="T30" s="92">
        <v>552075.81599999999</v>
      </c>
      <c r="U30" s="92">
        <v>549052.11600000004</v>
      </c>
      <c r="V30" s="92">
        <v>520376.07900000003</v>
      </c>
      <c r="W30" s="92">
        <v>521137.48499999999</v>
      </c>
      <c r="X30" s="92">
        <v>507920.99200000003</v>
      </c>
      <c r="Y30" s="92">
        <v>491162.212</v>
      </c>
      <c r="Z30" s="92">
        <v>477292.31300000002</v>
      </c>
      <c r="AA30" s="92">
        <v>474475.50099999999</v>
      </c>
      <c r="AB30" s="92">
        <v>481723.42300000001</v>
      </c>
      <c r="AC30" s="92">
        <v>485267.16899999999</v>
      </c>
      <c r="AD30" s="92">
        <v>497991.21799999999</v>
      </c>
      <c r="AE30" s="92">
        <v>494240.44799999997</v>
      </c>
      <c r="AF30" s="92">
        <v>495946.48100000003</v>
      </c>
      <c r="AG30" s="93">
        <v>435991.29399999999</v>
      </c>
      <c r="AH30" s="92">
        <v>458871.67</v>
      </c>
      <c r="AI30" s="92">
        <v>470562.50400000002</v>
      </c>
      <c r="AJ30" s="94">
        <v>459309.59100000001</v>
      </c>
      <c r="AK30" s="16" t="s">
        <v>255</v>
      </c>
    </row>
    <row r="31" spans="1:37" x14ac:dyDescent="0.25">
      <c r="A31" s="89" t="s">
        <v>93</v>
      </c>
      <c r="B31" s="89" t="s">
        <v>90</v>
      </c>
      <c r="C31" s="91">
        <v>526336.24100000004</v>
      </c>
      <c r="D31" s="90">
        <v>531670.19999999995</v>
      </c>
      <c r="E31" s="91">
        <v>527526.67299999995</v>
      </c>
      <c r="F31" s="91">
        <v>525470.41299999994</v>
      </c>
      <c r="G31" s="91">
        <v>526636.87199999997</v>
      </c>
      <c r="H31" s="91">
        <v>537649.98800000001</v>
      </c>
      <c r="I31" s="91">
        <v>551044.36699999997</v>
      </c>
      <c r="J31" s="91">
        <v>555138.30799999996</v>
      </c>
      <c r="K31" s="91">
        <v>568786.68200000003</v>
      </c>
      <c r="L31" s="91">
        <v>559204.179</v>
      </c>
      <c r="M31" s="91">
        <v>547966.53700000001</v>
      </c>
      <c r="N31" s="91">
        <v>564886.07799999998</v>
      </c>
      <c r="O31" s="91">
        <v>559752.77599999995</v>
      </c>
      <c r="P31" s="91">
        <v>563707.48100000003</v>
      </c>
      <c r="Q31" s="91">
        <v>564803.87899999996</v>
      </c>
      <c r="R31" s="91">
        <v>560777.42500000005</v>
      </c>
      <c r="S31" s="90">
        <v>561635.09</v>
      </c>
      <c r="T31" s="91">
        <v>546970.67099999997</v>
      </c>
      <c r="U31" s="91">
        <v>550018.875</v>
      </c>
      <c r="V31" s="91">
        <v>523001.28100000002</v>
      </c>
      <c r="W31" s="91">
        <v>522724.47600000002</v>
      </c>
      <c r="X31" s="91">
        <v>509901.94900000002</v>
      </c>
      <c r="Y31" s="91">
        <v>490514.78499999997</v>
      </c>
      <c r="Z31" s="91">
        <v>475028.56699999998</v>
      </c>
      <c r="AA31" s="91">
        <v>474299.59499999997</v>
      </c>
      <c r="AB31" s="90">
        <v>481765.73100000003</v>
      </c>
      <c r="AC31" s="91">
        <v>484949.80300000001</v>
      </c>
      <c r="AD31" s="91">
        <v>500784.66399999999</v>
      </c>
      <c r="AE31" s="91">
        <v>497313.08799999999</v>
      </c>
      <c r="AF31" s="91">
        <v>497672.32199999999</v>
      </c>
      <c r="AG31" s="91">
        <v>435903.163</v>
      </c>
      <c r="AH31" s="91">
        <v>455696.36599999998</v>
      </c>
      <c r="AI31" s="91">
        <v>465545.95600000001</v>
      </c>
      <c r="AJ31" s="91">
        <v>459648.18599999999</v>
      </c>
      <c r="AK31" s="16">
        <v>454038.36599999998</v>
      </c>
    </row>
    <row r="32" spans="1:37" x14ac:dyDescent="0.25">
      <c r="A32" s="89" t="s">
        <v>93</v>
      </c>
      <c r="B32" s="89" t="s">
        <v>91</v>
      </c>
      <c r="C32" s="92">
        <v>525765.87199999997</v>
      </c>
      <c r="D32" s="92">
        <v>533376.89199999999</v>
      </c>
      <c r="E32" s="92">
        <v>533891.84100000001</v>
      </c>
      <c r="F32" s="92">
        <v>526051.58200000005</v>
      </c>
      <c r="G32" s="92">
        <v>532563.098</v>
      </c>
      <c r="H32" s="92">
        <v>542148.28099999996</v>
      </c>
      <c r="I32" s="92">
        <v>554195.74199999997</v>
      </c>
      <c r="J32" s="92">
        <v>558666.397</v>
      </c>
      <c r="K32" s="92">
        <v>570474.84900000005</v>
      </c>
      <c r="L32" s="92">
        <v>562708.59900000005</v>
      </c>
      <c r="M32" s="92">
        <v>555149.00300000003</v>
      </c>
      <c r="N32" s="92">
        <v>564849.61100000003</v>
      </c>
      <c r="O32" s="92">
        <v>559823.87399999995</v>
      </c>
      <c r="P32" s="92">
        <v>564642.098</v>
      </c>
      <c r="Q32" s="92">
        <v>566656.25100000005</v>
      </c>
      <c r="R32" s="93">
        <v>565772.43000000005</v>
      </c>
      <c r="S32" s="92">
        <v>565398.84199999995</v>
      </c>
      <c r="T32" s="92">
        <v>552075.81599999999</v>
      </c>
      <c r="U32" s="92">
        <v>549052.11600000004</v>
      </c>
      <c r="V32" s="92">
        <v>520376.07900000003</v>
      </c>
      <c r="W32" s="92">
        <v>521137.48499999999</v>
      </c>
      <c r="X32" s="92">
        <v>507920.99200000003</v>
      </c>
      <c r="Y32" s="92">
        <v>491162.212</v>
      </c>
      <c r="Z32" s="92">
        <v>477292.31300000002</v>
      </c>
      <c r="AA32" s="92">
        <v>474475.50099999999</v>
      </c>
      <c r="AB32" s="92">
        <v>481723.42300000001</v>
      </c>
      <c r="AC32" s="92">
        <v>485267.16899999999</v>
      </c>
      <c r="AD32" s="92">
        <v>497991.21799999999</v>
      </c>
      <c r="AE32" s="92">
        <v>494240.44799999997</v>
      </c>
      <c r="AF32" s="92">
        <v>495946.48100000003</v>
      </c>
      <c r="AG32" s="92">
        <v>435902.63900000002</v>
      </c>
      <c r="AH32" s="92">
        <v>458871.67</v>
      </c>
      <c r="AI32" s="92">
        <v>470562.50400000002</v>
      </c>
      <c r="AJ32" s="94">
        <v>459309.59100000001</v>
      </c>
      <c r="AK32" s="16" t="s">
        <v>255</v>
      </c>
    </row>
    <row r="33" spans="1:37" x14ac:dyDescent="0.25">
      <c r="A33" s="89" t="s">
        <v>94</v>
      </c>
      <c r="B33" s="89" t="s">
        <v>47</v>
      </c>
      <c r="C33" s="95" t="s">
        <v>255</v>
      </c>
      <c r="D33" s="95" t="s">
        <v>255</v>
      </c>
      <c r="E33" s="95" t="s">
        <v>255</v>
      </c>
      <c r="F33" s="95" t="s">
        <v>255</v>
      </c>
      <c r="G33" s="95" t="s">
        <v>255</v>
      </c>
      <c r="H33" s="95" t="s">
        <v>255</v>
      </c>
      <c r="I33" s="95" t="s">
        <v>255</v>
      </c>
      <c r="J33" s="95" t="s">
        <v>255</v>
      </c>
      <c r="K33" s="95" t="s">
        <v>255</v>
      </c>
      <c r="L33" s="95" t="s">
        <v>255</v>
      </c>
      <c r="M33" s="95" t="s">
        <v>255</v>
      </c>
      <c r="N33" s="95" t="s">
        <v>255</v>
      </c>
      <c r="O33" s="95" t="s">
        <v>255</v>
      </c>
      <c r="P33" s="95" t="s">
        <v>255</v>
      </c>
      <c r="Q33" s="95" t="s">
        <v>255</v>
      </c>
      <c r="R33" s="95" t="s">
        <v>255</v>
      </c>
      <c r="S33" s="95" t="s">
        <v>255</v>
      </c>
      <c r="T33" s="95" t="s">
        <v>255</v>
      </c>
      <c r="U33" s="95" t="s">
        <v>255</v>
      </c>
      <c r="V33" s="95" t="s">
        <v>255</v>
      </c>
      <c r="W33" s="95" t="s">
        <v>255</v>
      </c>
      <c r="X33" s="95" t="s">
        <v>255</v>
      </c>
      <c r="Y33" s="95" t="s">
        <v>255</v>
      </c>
      <c r="Z33" s="95" t="s">
        <v>255</v>
      </c>
      <c r="AA33" s="95" t="s">
        <v>255</v>
      </c>
      <c r="AB33" s="95" t="s">
        <v>255</v>
      </c>
      <c r="AC33" s="95" t="s">
        <v>255</v>
      </c>
      <c r="AD33" s="95" t="s">
        <v>255</v>
      </c>
      <c r="AE33" s="95" t="s">
        <v>255</v>
      </c>
      <c r="AF33" s="95" t="s">
        <v>255</v>
      </c>
      <c r="AG33" s="95" t="s">
        <v>255</v>
      </c>
      <c r="AH33" s="95" t="s">
        <v>255</v>
      </c>
      <c r="AI33" s="95" t="s">
        <v>255</v>
      </c>
      <c r="AJ33" s="95" t="s">
        <v>255</v>
      </c>
      <c r="AK33" s="16" t="s">
        <v>255</v>
      </c>
    </row>
    <row r="34" spans="1:37" x14ac:dyDescent="0.25">
      <c r="A34" s="89" t="s">
        <v>94</v>
      </c>
      <c r="B34" s="89" t="s">
        <v>49</v>
      </c>
      <c r="C34" s="92">
        <v>205762.777</v>
      </c>
      <c r="D34" s="92">
        <v>204465.101</v>
      </c>
      <c r="E34" s="92">
        <v>198926.095</v>
      </c>
      <c r="F34" s="92">
        <v>201745.587</v>
      </c>
      <c r="G34" s="92">
        <v>195193.61300000001</v>
      </c>
      <c r="H34" s="93">
        <v>196093.44</v>
      </c>
      <c r="I34" s="92">
        <v>206548.26699999999</v>
      </c>
      <c r="J34" s="92">
        <v>206672.07199999999</v>
      </c>
      <c r="K34" s="92">
        <v>209434.08199999999</v>
      </c>
      <c r="L34" s="92">
        <v>209376.383</v>
      </c>
      <c r="M34" s="92">
        <v>219735.182</v>
      </c>
      <c r="N34" s="92">
        <v>226906.698</v>
      </c>
      <c r="O34" s="92">
        <v>235167.261</v>
      </c>
      <c r="P34" s="93">
        <v>237100.31</v>
      </c>
      <c r="Q34" s="92">
        <v>250959.019</v>
      </c>
      <c r="R34" s="92">
        <v>272242.81900000002</v>
      </c>
      <c r="S34" s="92">
        <v>279171.55599999998</v>
      </c>
      <c r="T34" s="92">
        <v>265223.935</v>
      </c>
      <c r="U34" s="92">
        <v>278275.92800000001</v>
      </c>
      <c r="V34" s="92">
        <v>278809.40600000002</v>
      </c>
      <c r="W34" s="92">
        <v>290178.95199999999</v>
      </c>
      <c r="X34" s="92">
        <v>288402.69099999999</v>
      </c>
      <c r="Y34" s="92">
        <v>281060.48100000003</v>
      </c>
      <c r="Z34" s="92">
        <v>289383.48300000001</v>
      </c>
      <c r="AA34" s="92">
        <v>287126.01400000002</v>
      </c>
      <c r="AB34" s="92">
        <v>305363.07400000002</v>
      </c>
      <c r="AC34" s="92">
        <v>316533.08399999997</v>
      </c>
      <c r="AD34" s="92">
        <v>317650.16600000003</v>
      </c>
      <c r="AE34" s="92">
        <v>316503.22600000002</v>
      </c>
      <c r="AF34" s="92">
        <v>315442.47600000002</v>
      </c>
      <c r="AG34" s="92">
        <v>279570.054</v>
      </c>
      <c r="AH34" s="92">
        <v>295811.70500000002</v>
      </c>
      <c r="AI34" s="92">
        <v>300447.26899999997</v>
      </c>
      <c r="AJ34" s="92">
        <v>287147.723</v>
      </c>
      <c r="AK34" s="16">
        <v>292116.09999999998</v>
      </c>
    </row>
    <row r="35" spans="1:37" x14ac:dyDescent="0.25">
      <c r="A35" s="89" t="s">
        <v>94</v>
      </c>
      <c r="B35" s="89" t="s">
        <v>50</v>
      </c>
      <c r="C35" s="91">
        <v>172029.236</v>
      </c>
      <c r="D35" s="91">
        <v>161910.30100000001</v>
      </c>
      <c r="E35" s="91">
        <v>162558.973</v>
      </c>
      <c r="F35" s="90">
        <v>172777.2</v>
      </c>
      <c r="G35" s="91">
        <v>173963.65700000001</v>
      </c>
      <c r="H35" s="91">
        <v>165552.152</v>
      </c>
      <c r="I35" s="90">
        <v>172571</v>
      </c>
      <c r="J35" s="91">
        <v>176748.264</v>
      </c>
      <c r="K35" s="90">
        <v>183296.5</v>
      </c>
      <c r="L35" s="91">
        <v>178588.50399999999</v>
      </c>
      <c r="M35" s="91">
        <v>192468.989</v>
      </c>
      <c r="N35" s="91">
        <v>194212.50599999999</v>
      </c>
      <c r="O35" s="91">
        <v>193806.35399999999</v>
      </c>
      <c r="P35" s="91">
        <v>201273.28599999999</v>
      </c>
      <c r="Q35" s="91">
        <v>225604.69099999999</v>
      </c>
      <c r="R35" s="91">
        <v>244421.35200000001</v>
      </c>
      <c r="S35" s="91">
        <v>252417.054</v>
      </c>
      <c r="T35" s="91">
        <v>248694.231</v>
      </c>
      <c r="U35" s="91">
        <v>258356.49600000001</v>
      </c>
      <c r="V35" s="91">
        <v>254310.11300000001</v>
      </c>
      <c r="W35" s="91">
        <v>266345.38299999997</v>
      </c>
      <c r="X35" s="91">
        <v>266508.89199999999</v>
      </c>
      <c r="Y35" s="91">
        <v>286376.92200000002</v>
      </c>
      <c r="Z35" s="91">
        <v>289309.875</v>
      </c>
      <c r="AA35" s="91">
        <v>291300.66600000003</v>
      </c>
      <c r="AB35" s="91">
        <v>324824.533</v>
      </c>
      <c r="AC35" s="91">
        <v>334453.364</v>
      </c>
      <c r="AD35" s="91">
        <v>340618.37699999998</v>
      </c>
      <c r="AE35" s="91">
        <v>330747.54499999998</v>
      </c>
      <c r="AF35" s="91">
        <v>311805.25099999999</v>
      </c>
      <c r="AG35" s="91">
        <v>277536.30499999999</v>
      </c>
      <c r="AH35" s="91">
        <v>303642.22600000002</v>
      </c>
      <c r="AI35" s="90">
        <v>300576.74900000001</v>
      </c>
      <c r="AJ35" s="91">
        <v>299231.90999999997</v>
      </c>
      <c r="AK35" s="16">
        <v>302480.00799999997</v>
      </c>
    </row>
    <row r="36" spans="1:37" x14ac:dyDescent="0.25">
      <c r="A36" s="89" t="s">
        <v>94</v>
      </c>
      <c r="B36" s="89" t="s">
        <v>89</v>
      </c>
      <c r="C36" s="92">
        <v>525765.87199999997</v>
      </c>
      <c r="D36" s="92">
        <v>533376.89199999999</v>
      </c>
      <c r="E36" s="92">
        <v>533879.84100000001</v>
      </c>
      <c r="F36" s="92">
        <v>525999.58200000005</v>
      </c>
      <c r="G36" s="92">
        <v>532432.098</v>
      </c>
      <c r="H36" s="92">
        <v>541944.28099999996</v>
      </c>
      <c r="I36" s="92">
        <v>553891.74199999997</v>
      </c>
      <c r="J36" s="92">
        <v>558266.397</v>
      </c>
      <c r="K36" s="92">
        <v>570110.84900000005</v>
      </c>
      <c r="L36" s="92">
        <v>562327.59900000005</v>
      </c>
      <c r="M36" s="92">
        <v>554605.00300000003</v>
      </c>
      <c r="N36" s="92">
        <v>564269.61100000003</v>
      </c>
      <c r="O36" s="92">
        <v>559099.87399999995</v>
      </c>
      <c r="P36" s="92">
        <v>563783.098</v>
      </c>
      <c r="Q36" s="92">
        <v>565140.25100000005</v>
      </c>
      <c r="R36" s="92">
        <v>563205.04599999997</v>
      </c>
      <c r="S36" s="92">
        <v>561623.07700000005</v>
      </c>
      <c r="T36" s="92">
        <v>545912.91399999999</v>
      </c>
      <c r="U36" s="93">
        <v>539630.38</v>
      </c>
      <c r="V36" s="92">
        <v>508081.022</v>
      </c>
      <c r="W36" s="92">
        <v>507138.91600000003</v>
      </c>
      <c r="X36" s="92">
        <v>492980.33100000001</v>
      </c>
      <c r="Y36" s="92">
        <v>475171.86200000002</v>
      </c>
      <c r="Z36" s="92">
        <v>462937.348</v>
      </c>
      <c r="AA36" s="92">
        <v>459192.04599999997</v>
      </c>
      <c r="AB36" s="92">
        <v>466441.22700000001</v>
      </c>
      <c r="AC36" s="92">
        <v>470099.27600000001</v>
      </c>
      <c r="AD36" s="92">
        <v>481729.54100000003</v>
      </c>
      <c r="AE36" s="92">
        <v>476150.701</v>
      </c>
      <c r="AF36" s="92">
        <v>477134.67</v>
      </c>
      <c r="AG36" s="92">
        <v>417005.14799999999</v>
      </c>
      <c r="AH36" s="92">
        <v>438946.86200000002</v>
      </c>
      <c r="AI36" s="92">
        <v>450488.77500000002</v>
      </c>
      <c r="AJ36" s="94">
        <v>438325.86300000001</v>
      </c>
      <c r="AK36" s="16" t="s">
        <v>255</v>
      </c>
    </row>
    <row r="37" spans="1:37" x14ac:dyDescent="0.25">
      <c r="A37" s="89" t="s">
        <v>94</v>
      </c>
      <c r="B37" s="89" t="s">
        <v>90</v>
      </c>
      <c r="C37" s="91">
        <v>526336.24100000004</v>
      </c>
      <c r="D37" s="90">
        <v>531670.19999999995</v>
      </c>
      <c r="E37" s="91">
        <v>527514.67299999995</v>
      </c>
      <c r="F37" s="91">
        <v>525418.41299999994</v>
      </c>
      <c r="G37" s="91">
        <v>526505.87199999997</v>
      </c>
      <c r="H37" s="91">
        <v>537445.98800000001</v>
      </c>
      <c r="I37" s="91">
        <v>550740.36699999997</v>
      </c>
      <c r="J37" s="91">
        <v>554738.30799999996</v>
      </c>
      <c r="K37" s="91">
        <v>568422.68200000003</v>
      </c>
      <c r="L37" s="91">
        <v>558823.179</v>
      </c>
      <c r="M37" s="91">
        <v>547422.53700000001</v>
      </c>
      <c r="N37" s="91">
        <v>564306.07799999998</v>
      </c>
      <c r="O37" s="91">
        <v>559028.77599999995</v>
      </c>
      <c r="P37" s="91">
        <v>562848.48100000003</v>
      </c>
      <c r="Q37" s="91">
        <v>563287.87899999996</v>
      </c>
      <c r="R37" s="91">
        <v>558194.13199999998</v>
      </c>
      <c r="S37" s="90">
        <v>557855.98</v>
      </c>
      <c r="T37" s="91">
        <v>540938.03300000005</v>
      </c>
      <c r="U37" s="91">
        <v>540629.47199999995</v>
      </c>
      <c r="V37" s="91">
        <v>510674.99300000002</v>
      </c>
      <c r="W37" s="91">
        <v>508709.80900000001</v>
      </c>
      <c r="X37" s="90">
        <v>494916.13</v>
      </c>
      <c r="Y37" s="91">
        <v>474499.95699999999</v>
      </c>
      <c r="Z37" s="91">
        <v>460745.625</v>
      </c>
      <c r="AA37" s="91">
        <v>459198.12900000002</v>
      </c>
      <c r="AB37" s="91">
        <v>466550.79399999999</v>
      </c>
      <c r="AC37" s="91">
        <v>469949.85100000002</v>
      </c>
      <c r="AD37" s="91">
        <v>484219.61499999999</v>
      </c>
      <c r="AE37" s="91">
        <v>479441.554</v>
      </c>
      <c r="AF37" s="91">
        <v>478828.88199999998</v>
      </c>
      <c r="AG37" s="91">
        <v>417235.625</v>
      </c>
      <c r="AH37" s="91">
        <v>435811.62199999997</v>
      </c>
      <c r="AI37" s="91">
        <v>446081.28499999997</v>
      </c>
      <c r="AJ37" s="91">
        <v>438587.10399999999</v>
      </c>
      <c r="AK37" s="16">
        <v>434827.90100000001</v>
      </c>
    </row>
    <row r="38" spans="1:37" x14ac:dyDescent="0.25">
      <c r="A38" s="89" t="s">
        <v>94</v>
      </c>
      <c r="B38" s="89" t="s">
        <v>91</v>
      </c>
      <c r="C38" s="92">
        <v>525765.87199999997</v>
      </c>
      <c r="D38" s="92">
        <v>533376.89199999999</v>
      </c>
      <c r="E38" s="92">
        <v>533879.84100000001</v>
      </c>
      <c r="F38" s="92">
        <v>525999.58200000005</v>
      </c>
      <c r="G38" s="92">
        <v>532432.098</v>
      </c>
      <c r="H38" s="92">
        <v>541944.28099999996</v>
      </c>
      <c r="I38" s="92">
        <v>553891.74199999997</v>
      </c>
      <c r="J38" s="92">
        <v>558266.397</v>
      </c>
      <c r="K38" s="92">
        <v>570110.84900000005</v>
      </c>
      <c r="L38" s="92">
        <v>562327.59900000005</v>
      </c>
      <c r="M38" s="92">
        <v>554605.00300000003</v>
      </c>
      <c r="N38" s="92">
        <v>564269.61100000003</v>
      </c>
      <c r="O38" s="92">
        <v>559099.87399999995</v>
      </c>
      <c r="P38" s="92">
        <v>563783.098</v>
      </c>
      <c r="Q38" s="92">
        <v>565140.25100000005</v>
      </c>
      <c r="R38" s="92">
        <v>563205.04599999997</v>
      </c>
      <c r="S38" s="92">
        <v>561623.07700000005</v>
      </c>
      <c r="T38" s="92">
        <v>545912.91399999999</v>
      </c>
      <c r="U38" s="93">
        <v>539630.38</v>
      </c>
      <c r="V38" s="92">
        <v>508081.022</v>
      </c>
      <c r="W38" s="92">
        <v>507138.91600000003</v>
      </c>
      <c r="X38" s="92">
        <v>492980.33100000001</v>
      </c>
      <c r="Y38" s="92">
        <v>475171.86200000002</v>
      </c>
      <c r="Z38" s="92">
        <v>462937.348</v>
      </c>
      <c r="AA38" s="92">
        <v>459192.04599999997</v>
      </c>
      <c r="AB38" s="92">
        <v>466441.22700000001</v>
      </c>
      <c r="AC38" s="92">
        <v>470099.27600000001</v>
      </c>
      <c r="AD38" s="92">
        <v>481729.54100000003</v>
      </c>
      <c r="AE38" s="92">
        <v>476150.701</v>
      </c>
      <c r="AF38" s="92">
        <v>477134.67</v>
      </c>
      <c r="AG38" s="92">
        <v>416916.49300000002</v>
      </c>
      <c r="AH38" s="92">
        <v>438946.86200000002</v>
      </c>
      <c r="AI38" s="92">
        <v>450488.77500000002</v>
      </c>
      <c r="AJ38" s="94">
        <v>438325.86300000001</v>
      </c>
      <c r="AK38" s="16" t="s">
        <v>255</v>
      </c>
    </row>
    <row r="39" spans="1:37" ht="11.5" customHeigh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1:37" ht="14.5" x14ac:dyDescent="0.35">
      <c r="A40" s="85" t="s">
        <v>69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1:37" ht="13" x14ac:dyDescent="0.25">
      <c r="A41" s="3" t="s">
        <v>255</v>
      </c>
      <c r="B41" s="2" t="s">
        <v>70</v>
      </c>
    </row>
    <row r="43" spans="1:37" ht="14.5" x14ac:dyDescent="0.35">
      <c r="A43" s="96" t="s">
        <v>276</v>
      </c>
    </row>
    <row r="44" spans="1:37" x14ac:dyDescent="0.25">
      <c r="A44" s="16" t="s">
        <v>87</v>
      </c>
    </row>
    <row r="47" spans="1:37" ht="14.5" x14ac:dyDescent="0.35">
      <c r="A47" s="84" t="s">
        <v>311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</row>
    <row r="48" spans="1:37" ht="14.5" x14ac:dyDescent="0.35">
      <c r="A48" s="84" t="s">
        <v>1</v>
      </c>
      <c r="B48" s="85" t="s">
        <v>275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 spans="1:37" ht="14.5" x14ac:dyDescent="0.35">
      <c r="A49" s="84" t="s">
        <v>2</v>
      </c>
      <c r="B49" s="113">
        <v>45833.458333333336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</row>
    <row r="50" spans="1:37" ht="14.5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</row>
    <row r="51" spans="1:37" ht="14.5" x14ac:dyDescent="0.35">
      <c r="A51" s="85" t="s">
        <v>3</v>
      </c>
      <c r="B51"/>
      <c r="C51" s="84" t="s">
        <v>4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</row>
    <row r="52" spans="1:37" ht="14.5" x14ac:dyDescent="0.35">
      <c r="A52" s="85" t="s">
        <v>5</v>
      </c>
      <c r="B52"/>
      <c r="C52" s="84" t="s">
        <v>6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 spans="1:37" ht="14.5" x14ac:dyDescent="0.35">
      <c r="A53" s="85" t="s">
        <v>7</v>
      </c>
      <c r="B53"/>
      <c r="C53" s="84" t="s">
        <v>8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7" ht="14.5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</row>
    <row r="55" spans="1:37" x14ac:dyDescent="0.25">
      <c r="A55" s="115" t="s">
        <v>9</v>
      </c>
      <c r="B55" s="115" t="s">
        <v>9</v>
      </c>
      <c r="C55" s="86" t="s">
        <v>10</v>
      </c>
      <c r="D55" s="86" t="s">
        <v>11</v>
      </c>
      <c r="E55" s="86" t="s">
        <v>12</v>
      </c>
      <c r="F55" s="86" t="s">
        <v>13</v>
      </c>
      <c r="G55" s="86" t="s">
        <v>14</v>
      </c>
      <c r="H55" s="86" t="s">
        <v>15</v>
      </c>
      <c r="I55" s="86" t="s">
        <v>16</v>
      </c>
      <c r="J55" s="86" t="s">
        <v>17</v>
      </c>
      <c r="K55" s="86" t="s">
        <v>18</v>
      </c>
      <c r="L55" s="86" t="s">
        <v>19</v>
      </c>
      <c r="M55" s="86" t="s">
        <v>20</v>
      </c>
      <c r="N55" s="86" t="s">
        <v>21</v>
      </c>
      <c r="O55" s="86" t="s">
        <v>22</v>
      </c>
      <c r="P55" s="86" t="s">
        <v>23</v>
      </c>
      <c r="Q55" s="86" t="s">
        <v>24</v>
      </c>
      <c r="R55" s="86" t="s">
        <v>25</v>
      </c>
      <c r="S55" s="86" t="s">
        <v>26</v>
      </c>
      <c r="T55" s="86" t="s">
        <v>27</v>
      </c>
      <c r="U55" s="86" t="s">
        <v>28</v>
      </c>
      <c r="V55" s="86" t="s">
        <v>29</v>
      </c>
      <c r="W55" s="86" t="s">
        <v>30</v>
      </c>
      <c r="X55" s="86" t="s">
        <v>31</v>
      </c>
      <c r="Y55" s="86" t="s">
        <v>32</v>
      </c>
      <c r="Z55" s="86" t="s">
        <v>33</v>
      </c>
      <c r="AA55" s="86" t="s">
        <v>34</v>
      </c>
      <c r="AB55" s="86" t="s">
        <v>35</v>
      </c>
      <c r="AC55" s="86" t="s">
        <v>36</v>
      </c>
      <c r="AD55" s="86" t="s">
        <v>37</v>
      </c>
      <c r="AE55" s="86" t="s">
        <v>38</v>
      </c>
      <c r="AF55" s="86" t="s">
        <v>39</v>
      </c>
      <c r="AG55" s="86" t="s">
        <v>40</v>
      </c>
      <c r="AH55" s="86" t="s">
        <v>41</v>
      </c>
      <c r="AI55" s="86" t="s">
        <v>42</v>
      </c>
      <c r="AJ55" s="86" t="s">
        <v>254</v>
      </c>
      <c r="AK55" s="86" t="s">
        <v>285</v>
      </c>
    </row>
    <row r="56" spans="1:37" ht="14.5" x14ac:dyDescent="0.35">
      <c r="A56" s="87" t="s">
        <v>43</v>
      </c>
      <c r="B56" s="87" t="s">
        <v>44</v>
      </c>
      <c r="C56" s="88" t="s">
        <v>45</v>
      </c>
      <c r="D56" s="88" t="s">
        <v>45</v>
      </c>
      <c r="E56" s="88" t="s">
        <v>45</v>
      </c>
      <c r="F56" s="88" t="s">
        <v>45</v>
      </c>
      <c r="G56" s="88" t="s">
        <v>45</v>
      </c>
      <c r="H56" s="88" t="s">
        <v>45</v>
      </c>
      <c r="I56" s="88" t="s">
        <v>45</v>
      </c>
      <c r="J56" s="88" t="s">
        <v>45</v>
      </c>
      <c r="K56" s="88" t="s">
        <v>45</v>
      </c>
      <c r="L56" s="88" t="s">
        <v>45</v>
      </c>
      <c r="M56" s="88" t="s">
        <v>45</v>
      </c>
      <c r="N56" s="88" t="s">
        <v>45</v>
      </c>
      <c r="O56" s="88" t="s">
        <v>45</v>
      </c>
      <c r="P56" s="88" t="s">
        <v>45</v>
      </c>
      <c r="Q56" s="88" t="s">
        <v>45</v>
      </c>
      <c r="R56" s="88" t="s">
        <v>45</v>
      </c>
      <c r="S56" s="88" t="s">
        <v>45</v>
      </c>
      <c r="T56" s="88" t="s">
        <v>45</v>
      </c>
      <c r="U56" s="88" t="s">
        <v>45</v>
      </c>
      <c r="V56" s="88" t="s">
        <v>45</v>
      </c>
      <c r="W56" s="88" t="s">
        <v>45</v>
      </c>
      <c r="X56" s="88" t="s">
        <v>45</v>
      </c>
      <c r="Y56" s="88" t="s">
        <v>45</v>
      </c>
      <c r="Z56" s="88" t="s">
        <v>45</v>
      </c>
      <c r="AA56" s="88" t="s">
        <v>45</v>
      </c>
      <c r="AB56" s="88" t="s">
        <v>45</v>
      </c>
      <c r="AC56" s="88" t="s">
        <v>45</v>
      </c>
      <c r="AD56" s="88" t="s">
        <v>45</v>
      </c>
      <c r="AE56" s="88" t="s">
        <v>45</v>
      </c>
      <c r="AF56" s="88" t="s">
        <v>45</v>
      </c>
      <c r="AG56" s="88" t="s">
        <v>45</v>
      </c>
      <c r="AH56" s="88" t="s">
        <v>45</v>
      </c>
      <c r="AI56" s="88" t="s">
        <v>45</v>
      </c>
      <c r="AJ56" s="88" t="s">
        <v>45</v>
      </c>
      <c r="AK56" s="88" t="s">
        <v>45</v>
      </c>
    </row>
    <row r="57" spans="1:37" x14ac:dyDescent="0.25">
      <c r="A57" s="89" t="s">
        <v>98</v>
      </c>
      <c r="B57" s="89" t="s">
        <v>47</v>
      </c>
      <c r="C57" s="106">
        <v>40179</v>
      </c>
      <c r="D57" s="106">
        <v>38934.9</v>
      </c>
      <c r="E57" s="106">
        <v>38690.6</v>
      </c>
      <c r="F57" s="106">
        <v>38565.599999999999</v>
      </c>
      <c r="G57" s="106">
        <v>40102.699999999997</v>
      </c>
      <c r="H57" s="106">
        <v>39315.9</v>
      </c>
      <c r="I57" s="106">
        <v>38995.800000000003</v>
      </c>
      <c r="J57" s="106">
        <v>39962.199999999997</v>
      </c>
      <c r="K57" s="106">
        <v>39298.9</v>
      </c>
      <c r="L57" s="106">
        <v>40561.300000000003</v>
      </c>
      <c r="M57" s="106">
        <v>43871</v>
      </c>
      <c r="N57" s="106">
        <v>41905</v>
      </c>
      <c r="O57" s="106">
        <v>46800</v>
      </c>
      <c r="P57" s="106">
        <v>46864</v>
      </c>
      <c r="Q57" s="106">
        <v>46345</v>
      </c>
      <c r="R57" s="105">
        <v>45545.786</v>
      </c>
      <c r="S57" s="106">
        <v>42693.14</v>
      </c>
      <c r="T57" s="106">
        <v>40614.230000000003</v>
      </c>
      <c r="U57" s="105">
        <v>38034.385999999999</v>
      </c>
      <c r="V57" s="105">
        <v>34703.222999999998</v>
      </c>
      <c r="W57" s="105">
        <v>33185.002</v>
      </c>
      <c r="X57" s="105">
        <v>31460.978999999999</v>
      </c>
      <c r="Y57" s="105">
        <v>30224.902999999998</v>
      </c>
      <c r="Z57" s="105">
        <v>29391.375</v>
      </c>
      <c r="AA57" s="105">
        <v>29006.891</v>
      </c>
      <c r="AB57" s="105">
        <v>28201.078000000001</v>
      </c>
      <c r="AC57" s="105">
        <v>25211.285</v>
      </c>
      <c r="AD57" s="105">
        <v>25073.923999999999</v>
      </c>
      <c r="AE57" s="105">
        <v>24573.253000000001</v>
      </c>
      <c r="AF57" s="105">
        <v>22755.252</v>
      </c>
      <c r="AG57" s="105">
        <v>21445.329000000002</v>
      </c>
      <c r="AH57" s="105">
        <v>20209.433000000001</v>
      </c>
      <c r="AI57" s="106">
        <v>18838.68</v>
      </c>
      <c r="AJ57" s="105">
        <v>19057.030999999999</v>
      </c>
      <c r="AK57" s="105">
        <v>17981.281999999999</v>
      </c>
    </row>
    <row r="58" spans="1:37" x14ac:dyDescent="0.25">
      <c r="A58" s="89" t="s">
        <v>98</v>
      </c>
      <c r="B58" s="89" t="s">
        <v>48</v>
      </c>
      <c r="C58" s="107">
        <v>400</v>
      </c>
      <c r="D58" s="107">
        <v>368</v>
      </c>
      <c r="E58" s="107">
        <v>476</v>
      </c>
      <c r="F58" s="107">
        <v>493</v>
      </c>
      <c r="G58" s="107">
        <v>612</v>
      </c>
      <c r="H58" s="107">
        <v>735</v>
      </c>
      <c r="I58" s="107">
        <v>930</v>
      </c>
      <c r="J58" s="107">
        <v>1012</v>
      </c>
      <c r="K58" s="107">
        <v>858</v>
      </c>
      <c r="L58" s="107">
        <v>802</v>
      </c>
      <c r="M58" s="107">
        <v>1188</v>
      </c>
      <c r="N58" s="107">
        <v>1393</v>
      </c>
      <c r="O58" s="107">
        <v>1672</v>
      </c>
      <c r="P58" s="107">
        <v>1795</v>
      </c>
      <c r="Q58" s="107">
        <v>2445</v>
      </c>
      <c r="R58" s="108">
        <v>3643.1579999999999</v>
      </c>
      <c r="S58" s="108">
        <v>4733.0360000000001</v>
      </c>
      <c r="T58" s="108">
        <v>7208.1949999999997</v>
      </c>
      <c r="U58" s="108">
        <v>10964.454</v>
      </c>
      <c r="V58" s="108">
        <v>13676.464</v>
      </c>
      <c r="W58" s="108">
        <v>15247.290999999999</v>
      </c>
      <c r="X58" s="108">
        <v>15989.728999999999</v>
      </c>
      <c r="Y58" s="108">
        <v>17473.748</v>
      </c>
      <c r="Z58" s="108">
        <v>16053.162</v>
      </c>
      <c r="AA58" s="108">
        <v>16863.481</v>
      </c>
      <c r="AB58" s="108">
        <v>17255.287</v>
      </c>
      <c r="AC58" s="108">
        <v>16956.135999999999</v>
      </c>
      <c r="AD58" s="108">
        <v>18657.489000000001</v>
      </c>
      <c r="AE58" s="108">
        <v>20655.584999999999</v>
      </c>
      <c r="AF58" s="108">
        <v>21244.419000000002</v>
      </c>
      <c r="AG58" s="108">
        <v>21906.514999999999</v>
      </c>
      <c r="AH58" s="108">
        <v>22594.929</v>
      </c>
      <c r="AI58" s="108">
        <v>22289.955000000002</v>
      </c>
      <c r="AJ58" s="108">
        <v>23028.462</v>
      </c>
      <c r="AK58" s="108">
        <v>21818.458999999999</v>
      </c>
    </row>
    <row r="59" spans="1:37" x14ac:dyDescent="0.25">
      <c r="A59" s="89" t="s">
        <v>98</v>
      </c>
      <c r="B59" s="89" t="s">
        <v>99</v>
      </c>
      <c r="C59" s="110" t="s">
        <v>255</v>
      </c>
      <c r="D59" s="110" t="s">
        <v>255</v>
      </c>
      <c r="E59" s="110" t="s">
        <v>255</v>
      </c>
      <c r="F59" s="110" t="s">
        <v>255</v>
      </c>
      <c r="G59" s="110" t="s">
        <v>255</v>
      </c>
      <c r="H59" s="110" t="s">
        <v>255</v>
      </c>
      <c r="I59" s="110" t="s">
        <v>255</v>
      </c>
      <c r="J59" s="110" t="s">
        <v>255</v>
      </c>
      <c r="K59" s="110" t="s">
        <v>255</v>
      </c>
      <c r="L59" s="110" t="s">
        <v>255</v>
      </c>
      <c r="M59" s="110" t="s">
        <v>255</v>
      </c>
      <c r="N59" s="110" t="s">
        <v>255</v>
      </c>
      <c r="O59" s="110" t="s">
        <v>255</v>
      </c>
      <c r="P59" s="110" t="s">
        <v>255</v>
      </c>
      <c r="Q59" s="110" t="s">
        <v>255</v>
      </c>
      <c r="R59" s="110" t="s">
        <v>255</v>
      </c>
      <c r="S59" s="110" t="s">
        <v>255</v>
      </c>
      <c r="T59" s="110" t="s">
        <v>255</v>
      </c>
      <c r="U59" s="110" t="s">
        <v>255</v>
      </c>
      <c r="V59" s="110" t="s">
        <v>255</v>
      </c>
      <c r="W59" s="110" t="s">
        <v>255</v>
      </c>
      <c r="X59" s="110" t="s">
        <v>255</v>
      </c>
      <c r="Y59" s="110" t="s">
        <v>255</v>
      </c>
      <c r="Z59" s="110" t="s">
        <v>255</v>
      </c>
      <c r="AA59" s="110" t="s">
        <v>255</v>
      </c>
      <c r="AB59" s="110" t="s">
        <v>255</v>
      </c>
      <c r="AC59" s="110" t="s">
        <v>255</v>
      </c>
      <c r="AD59" s="110" t="s">
        <v>255</v>
      </c>
      <c r="AE59" s="110" t="s">
        <v>255</v>
      </c>
      <c r="AF59" s="110" t="s">
        <v>255</v>
      </c>
      <c r="AG59" s="110" t="s">
        <v>255</v>
      </c>
      <c r="AH59" s="110" t="s">
        <v>255</v>
      </c>
      <c r="AI59" s="110" t="s">
        <v>255</v>
      </c>
      <c r="AJ59" s="110" t="s">
        <v>255</v>
      </c>
      <c r="AK59" s="110" t="s">
        <v>255</v>
      </c>
    </row>
    <row r="60" spans="1:37" x14ac:dyDescent="0.25">
      <c r="A60" s="89" t="s">
        <v>98</v>
      </c>
      <c r="B60" s="89" t="s">
        <v>49</v>
      </c>
      <c r="C60" s="108">
        <v>528313.63600000006</v>
      </c>
      <c r="D60" s="108">
        <v>513347.11800000002</v>
      </c>
      <c r="E60" s="108">
        <v>525303.11800000002</v>
      </c>
      <c r="F60" s="108">
        <v>526831.85499999998</v>
      </c>
      <c r="G60" s="108">
        <v>541316.29099999997</v>
      </c>
      <c r="H60" s="108">
        <v>539901.45499999996</v>
      </c>
      <c r="I60" s="108">
        <v>555327.39099999995</v>
      </c>
      <c r="J60" s="108">
        <v>566983.92700000003</v>
      </c>
      <c r="K60" s="108">
        <v>592551.96400000004</v>
      </c>
      <c r="L60" s="108">
        <v>561225.42700000003</v>
      </c>
      <c r="M60" s="108">
        <v>572996.18200000003</v>
      </c>
      <c r="N60" s="108">
        <v>575445.54500000004</v>
      </c>
      <c r="O60" s="108">
        <v>561745.09100000001</v>
      </c>
      <c r="P60" s="108">
        <v>578904.90899999999</v>
      </c>
      <c r="Q60" s="108">
        <v>592281.45499999996</v>
      </c>
      <c r="R60" s="107">
        <v>595063.82999999996</v>
      </c>
      <c r="S60" s="108">
        <v>594797.80700000003</v>
      </c>
      <c r="T60" s="108">
        <v>587067.39599999995</v>
      </c>
      <c r="U60" s="108">
        <v>588085.05299999996</v>
      </c>
      <c r="V60" s="108">
        <v>543009.81799999997</v>
      </c>
      <c r="W60" s="108">
        <v>539615.08700000006</v>
      </c>
      <c r="X60" s="108">
        <v>521539.65500000003</v>
      </c>
      <c r="Y60" s="108">
        <v>529251.14300000004</v>
      </c>
      <c r="Z60" s="108">
        <v>511139.054</v>
      </c>
      <c r="AA60" s="107">
        <v>508958.96</v>
      </c>
      <c r="AB60" s="107">
        <v>542507.9</v>
      </c>
      <c r="AC60" s="107">
        <v>536112.05000000005</v>
      </c>
      <c r="AD60" s="108">
        <v>549804.44499999995</v>
      </c>
      <c r="AE60" s="108">
        <v>539187.28200000001</v>
      </c>
      <c r="AF60" s="108">
        <v>530342.64500000002</v>
      </c>
      <c r="AG60" s="108">
        <v>464311.19699999999</v>
      </c>
      <c r="AH60" s="108">
        <v>473684.70600000001</v>
      </c>
      <c r="AI60" s="107">
        <v>507206.42</v>
      </c>
      <c r="AJ60" s="108">
        <v>497079.53700000001</v>
      </c>
      <c r="AK60" s="108">
        <v>497379.88400000002</v>
      </c>
    </row>
    <row r="61" spans="1:37" x14ac:dyDescent="0.25">
      <c r="A61" s="89" t="s">
        <v>98</v>
      </c>
      <c r="B61" s="89" t="s">
        <v>50</v>
      </c>
      <c r="C61" s="105">
        <v>17890.182000000001</v>
      </c>
      <c r="D61" s="106">
        <v>10829.6</v>
      </c>
      <c r="E61" s="106">
        <v>13412.3</v>
      </c>
      <c r="F61" s="106">
        <v>13867.6</v>
      </c>
      <c r="G61" s="106">
        <v>15525.4</v>
      </c>
      <c r="H61" s="106">
        <v>12956.3</v>
      </c>
      <c r="I61" s="106">
        <v>14177</v>
      </c>
      <c r="J61" s="106">
        <v>17447.2</v>
      </c>
      <c r="K61" s="106">
        <v>15677.9</v>
      </c>
      <c r="L61" s="106">
        <v>19349.2</v>
      </c>
      <c r="M61" s="106">
        <v>24424</v>
      </c>
      <c r="N61" s="106">
        <v>18276</v>
      </c>
      <c r="O61" s="106">
        <v>21159</v>
      </c>
      <c r="P61" s="106">
        <v>22171</v>
      </c>
      <c r="Q61" s="106">
        <v>24094</v>
      </c>
      <c r="R61" s="105">
        <v>23259.838</v>
      </c>
      <c r="S61" s="105">
        <v>20963.212</v>
      </c>
      <c r="T61" s="105">
        <v>20523.058000000001</v>
      </c>
      <c r="U61" s="105">
        <v>18881.559000000001</v>
      </c>
      <c r="V61" s="105">
        <v>18335.884999999998</v>
      </c>
      <c r="W61" s="105">
        <v>18332.562000000002</v>
      </c>
      <c r="X61" s="105">
        <v>16164.508</v>
      </c>
      <c r="Y61" s="106">
        <v>17806.16</v>
      </c>
      <c r="Z61" s="105">
        <v>17632.242999999999</v>
      </c>
      <c r="AA61" s="106">
        <v>17227</v>
      </c>
      <c r="AB61" s="105">
        <v>16214.427</v>
      </c>
      <c r="AC61" s="105">
        <v>15842.173000000001</v>
      </c>
      <c r="AD61" s="105">
        <v>16570.891</v>
      </c>
      <c r="AE61" s="105">
        <v>14803.069</v>
      </c>
      <c r="AF61" s="105">
        <v>13461.119000000001</v>
      </c>
      <c r="AG61" s="105">
        <v>13198.043</v>
      </c>
      <c r="AH61" s="105">
        <v>13996.324000000001</v>
      </c>
      <c r="AI61" s="105">
        <v>12292.311</v>
      </c>
      <c r="AJ61" s="105">
        <v>14406.378000000001</v>
      </c>
      <c r="AK61" s="105">
        <v>11275.448</v>
      </c>
    </row>
    <row r="62" spans="1:37" x14ac:dyDescent="0.25">
      <c r="A62" s="89" t="s">
        <v>98</v>
      </c>
      <c r="B62" s="89" t="s">
        <v>51</v>
      </c>
      <c r="C62" s="107">
        <v>-1630</v>
      </c>
      <c r="D62" s="107">
        <v>3042.3</v>
      </c>
      <c r="E62" s="107">
        <v>-6208.1</v>
      </c>
      <c r="F62" s="107">
        <v>853.4</v>
      </c>
      <c r="G62" s="107">
        <v>-669.2</v>
      </c>
      <c r="H62" s="107">
        <v>426.5</v>
      </c>
      <c r="I62" s="107">
        <v>-216.1</v>
      </c>
      <c r="J62" s="107">
        <v>683.8</v>
      </c>
      <c r="K62" s="107">
        <v>-3633.4</v>
      </c>
      <c r="L62" s="107">
        <v>1350</v>
      </c>
      <c r="M62" s="107">
        <v>1105</v>
      </c>
      <c r="N62" s="107">
        <v>-1819</v>
      </c>
      <c r="O62" s="107">
        <v>348</v>
      </c>
      <c r="P62" s="107">
        <v>-2574</v>
      </c>
      <c r="Q62" s="107">
        <v>-3037</v>
      </c>
      <c r="R62" s="108">
        <v>337.512</v>
      </c>
      <c r="S62" s="108">
        <v>-1799.8530000000001</v>
      </c>
      <c r="T62" s="108">
        <v>-521.226</v>
      </c>
      <c r="U62" s="108">
        <v>-2898.3240000000001</v>
      </c>
      <c r="V62" s="107">
        <v>1067.8599999999999</v>
      </c>
      <c r="W62" s="108">
        <v>-106.04300000000001</v>
      </c>
      <c r="X62" s="108">
        <v>3367.8069999999998</v>
      </c>
      <c r="Y62" s="108">
        <v>-998.255</v>
      </c>
      <c r="Z62" s="108">
        <v>-2185.5630000000001</v>
      </c>
      <c r="AA62" s="108">
        <v>1073.662</v>
      </c>
      <c r="AB62" s="108">
        <v>-4273.4889999999996</v>
      </c>
      <c r="AC62" s="108">
        <v>3046.0250000000001</v>
      </c>
      <c r="AD62" s="108">
        <v>1682.297</v>
      </c>
      <c r="AE62" s="108">
        <v>912.76599999999996</v>
      </c>
      <c r="AF62" s="108">
        <v>-2918.0790000000002</v>
      </c>
      <c r="AG62" s="108">
        <v>-957.49800000000005</v>
      </c>
      <c r="AH62" s="108">
        <v>5709.9179999999997</v>
      </c>
      <c r="AI62" s="108">
        <v>-5698.125</v>
      </c>
      <c r="AJ62" s="108">
        <v>4042.5439999999999</v>
      </c>
      <c r="AK62" s="108">
        <v>49.743000000000002</v>
      </c>
    </row>
    <row r="63" spans="1:37" x14ac:dyDescent="0.25">
      <c r="A63" s="89" t="s">
        <v>98</v>
      </c>
      <c r="B63" s="89" t="s">
        <v>52</v>
      </c>
      <c r="C63" s="110" t="s">
        <v>255</v>
      </c>
      <c r="D63" s="110" t="s">
        <v>255</v>
      </c>
      <c r="E63" s="110" t="s">
        <v>255</v>
      </c>
      <c r="F63" s="110" t="s">
        <v>255</v>
      </c>
      <c r="G63" s="110" t="s">
        <v>255</v>
      </c>
      <c r="H63" s="110" t="s">
        <v>255</v>
      </c>
      <c r="I63" s="110" t="s">
        <v>255</v>
      </c>
      <c r="J63" s="110" t="s">
        <v>255</v>
      </c>
      <c r="K63" s="110" t="s">
        <v>255</v>
      </c>
      <c r="L63" s="110" t="s">
        <v>255</v>
      </c>
      <c r="M63" s="110" t="s">
        <v>255</v>
      </c>
      <c r="N63" s="110" t="s">
        <v>255</v>
      </c>
      <c r="O63" s="110" t="s">
        <v>255</v>
      </c>
      <c r="P63" s="110" t="s">
        <v>255</v>
      </c>
      <c r="Q63" s="110" t="s">
        <v>255</v>
      </c>
      <c r="R63" s="110" t="s">
        <v>255</v>
      </c>
      <c r="S63" s="110" t="s">
        <v>255</v>
      </c>
      <c r="T63" s="110" t="s">
        <v>255</v>
      </c>
      <c r="U63" s="110" t="s">
        <v>255</v>
      </c>
      <c r="V63" s="110" t="s">
        <v>255</v>
      </c>
      <c r="W63" s="110" t="s">
        <v>255</v>
      </c>
      <c r="X63" s="110" t="s">
        <v>255</v>
      </c>
      <c r="Y63" s="110" t="s">
        <v>255</v>
      </c>
      <c r="Z63" s="110" t="s">
        <v>255</v>
      </c>
      <c r="AA63" s="110" t="s">
        <v>255</v>
      </c>
      <c r="AB63" s="110" t="s">
        <v>255</v>
      </c>
      <c r="AC63" s="110" t="s">
        <v>255</v>
      </c>
      <c r="AD63" s="110" t="s">
        <v>255</v>
      </c>
      <c r="AE63" s="110" t="s">
        <v>255</v>
      </c>
      <c r="AF63" s="110" t="s">
        <v>255</v>
      </c>
      <c r="AG63" s="110" t="s">
        <v>255</v>
      </c>
      <c r="AH63" s="110" t="s">
        <v>255</v>
      </c>
      <c r="AI63" s="110" t="s">
        <v>255</v>
      </c>
      <c r="AJ63" s="110" t="s">
        <v>255</v>
      </c>
      <c r="AK63" s="110" t="s">
        <v>255</v>
      </c>
    </row>
    <row r="64" spans="1:37" x14ac:dyDescent="0.25">
      <c r="A64" s="89" t="s">
        <v>98</v>
      </c>
      <c r="B64" s="89" t="s">
        <v>89</v>
      </c>
      <c r="C64" s="108">
        <v>3501.4549999999999</v>
      </c>
      <c r="D64" s="108">
        <v>3287.0909999999999</v>
      </c>
      <c r="E64" s="108">
        <v>3303.8180000000002</v>
      </c>
      <c r="F64" s="108">
        <v>4218.4549999999999</v>
      </c>
      <c r="G64" s="108">
        <v>4292.0910000000003</v>
      </c>
      <c r="H64" s="108">
        <v>3713.4549999999999</v>
      </c>
      <c r="I64" s="108">
        <v>3443.0909999999999</v>
      </c>
      <c r="J64" s="108">
        <v>3948.7269999999999</v>
      </c>
      <c r="K64" s="108">
        <v>4052.364</v>
      </c>
      <c r="L64" s="108">
        <v>4202.4549999999999</v>
      </c>
      <c r="M64" s="108">
        <v>4587.1819999999998</v>
      </c>
      <c r="N64" s="108">
        <v>4500.5450000000001</v>
      </c>
      <c r="O64" s="108">
        <v>5429.3639999999996</v>
      </c>
      <c r="P64" s="108">
        <v>4817.1819999999998</v>
      </c>
      <c r="Q64" s="108">
        <v>4798.7269999999999</v>
      </c>
      <c r="R64" s="108">
        <v>4984.2730000000001</v>
      </c>
      <c r="S64" s="107">
        <v>5263</v>
      </c>
      <c r="T64" s="108">
        <v>4390.6369999999997</v>
      </c>
      <c r="U64" s="108">
        <v>4215.7269999999999</v>
      </c>
      <c r="V64" s="108">
        <v>4056.1819999999998</v>
      </c>
      <c r="W64" s="108">
        <v>3953.9090000000001</v>
      </c>
      <c r="X64" s="108">
        <v>3920.1819999999998</v>
      </c>
      <c r="Y64" s="108">
        <v>3582.4540000000002</v>
      </c>
      <c r="Z64" s="108">
        <v>3695.5459999999998</v>
      </c>
      <c r="AA64" s="108">
        <v>3587.9090000000001</v>
      </c>
      <c r="AB64" s="108">
        <v>3277.9810000000002</v>
      </c>
      <c r="AC64" s="108">
        <v>3450.962</v>
      </c>
      <c r="AD64" s="108">
        <v>3034.8069999999998</v>
      </c>
      <c r="AE64" s="108">
        <v>2585.1329999999998</v>
      </c>
      <c r="AF64" s="108">
        <v>2167.873</v>
      </c>
      <c r="AG64" s="108">
        <v>2358.9520000000002</v>
      </c>
      <c r="AH64" s="108">
        <v>2232.7829999999999</v>
      </c>
      <c r="AI64" s="108">
        <v>2459.674</v>
      </c>
      <c r="AJ64" s="108">
        <v>3718.2779999999998</v>
      </c>
      <c r="AK64" s="109" t="s">
        <v>255</v>
      </c>
    </row>
    <row r="65" spans="1:37" x14ac:dyDescent="0.25">
      <c r="A65" s="89" t="s">
        <v>98</v>
      </c>
      <c r="B65" s="89" t="s">
        <v>90</v>
      </c>
      <c r="C65" s="105">
        <v>3501.4549999999999</v>
      </c>
      <c r="D65" s="105">
        <v>3287.0909999999999</v>
      </c>
      <c r="E65" s="105">
        <v>3303.8180000000002</v>
      </c>
      <c r="F65" s="105">
        <v>4218.4549999999999</v>
      </c>
      <c r="G65" s="105">
        <v>4292.0910000000003</v>
      </c>
      <c r="H65" s="105">
        <v>3713.4549999999999</v>
      </c>
      <c r="I65" s="105">
        <v>3444.0909999999999</v>
      </c>
      <c r="J65" s="105">
        <v>3949.7269999999999</v>
      </c>
      <c r="K65" s="105">
        <v>4051.364</v>
      </c>
      <c r="L65" s="105">
        <v>4202.4549999999999</v>
      </c>
      <c r="M65" s="105">
        <v>4587.1819999999998</v>
      </c>
      <c r="N65" s="105">
        <v>4500.5450000000001</v>
      </c>
      <c r="O65" s="105">
        <v>5430.3639999999996</v>
      </c>
      <c r="P65" s="105">
        <v>4816.1819999999998</v>
      </c>
      <c r="Q65" s="105">
        <v>4798.7269999999999</v>
      </c>
      <c r="R65" s="105">
        <v>4984.2730000000001</v>
      </c>
      <c r="S65" s="106">
        <v>5263</v>
      </c>
      <c r="T65" s="105">
        <v>4390.6360000000004</v>
      </c>
      <c r="U65" s="105">
        <v>4216.7269999999999</v>
      </c>
      <c r="V65" s="105">
        <v>4056.1819999999998</v>
      </c>
      <c r="W65" s="105">
        <v>3953.9090000000001</v>
      </c>
      <c r="X65" s="105">
        <v>3922.1819999999998</v>
      </c>
      <c r="Y65" s="105">
        <v>3583.4549999999999</v>
      </c>
      <c r="Z65" s="105">
        <v>3694.5450000000001</v>
      </c>
      <c r="AA65" s="105">
        <v>3587.9090000000001</v>
      </c>
      <c r="AB65" s="105">
        <v>3277.9810000000002</v>
      </c>
      <c r="AC65" s="105">
        <v>3450.962</v>
      </c>
      <c r="AD65" s="105">
        <v>3034.808</v>
      </c>
      <c r="AE65" s="105">
        <v>2585.1329999999998</v>
      </c>
      <c r="AF65" s="105">
        <v>2167.873</v>
      </c>
      <c r="AG65" s="105">
        <v>2358.9520000000002</v>
      </c>
      <c r="AH65" s="105">
        <v>2232.7829999999999</v>
      </c>
      <c r="AI65" s="105">
        <v>2459.674</v>
      </c>
      <c r="AJ65" s="105">
        <v>3718.2779999999998</v>
      </c>
      <c r="AK65" s="105">
        <v>2545.5169999999998</v>
      </c>
    </row>
    <row r="66" spans="1:37" x14ac:dyDescent="0.25">
      <c r="A66" s="89" t="s">
        <v>98</v>
      </c>
      <c r="B66" s="89" t="s">
        <v>100</v>
      </c>
      <c r="C66" s="109" t="s">
        <v>255</v>
      </c>
      <c r="D66" s="109" t="s">
        <v>255</v>
      </c>
      <c r="E66" s="109" t="s">
        <v>255</v>
      </c>
      <c r="F66" s="109" t="s">
        <v>255</v>
      </c>
      <c r="G66" s="109" t="s">
        <v>255</v>
      </c>
      <c r="H66" s="109" t="s">
        <v>255</v>
      </c>
      <c r="I66" s="109" t="s">
        <v>255</v>
      </c>
      <c r="J66" s="109" t="s">
        <v>255</v>
      </c>
      <c r="K66" s="109" t="s">
        <v>255</v>
      </c>
      <c r="L66" s="109" t="s">
        <v>255</v>
      </c>
      <c r="M66" s="109" t="s">
        <v>255</v>
      </c>
      <c r="N66" s="109" t="s">
        <v>255</v>
      </c>
      <c r="O66" s="109" t="s">
        <v>255</v>
      </c>
      <c r="P66" s="109" t="s">
        <v>255</v>
      </c>
      <c r="Q66" s="109" t="s">
        <v>255</v>
      </c>
      <c r="R66" s="109" t="s">
        <v>255</v>
      </c>
      <c r="S66" s="109" t="s">
        <v>255</v>
      </c>
      <c r="T66" s="109" t="s">
        <v>255</v>
      </c>
      <c r="U66" s="109" t="s">
        <v>255</v>
      </c>
      <c r="V66" s="109" t="s">
        <v>255</v>
      </c>
      <c r="W66" s="109" t="s">
        <v>255</v>
      </c>
      <c r="X66" s="109" t="s">
        <v>255</v>
      </c>
      <c r="Y66" s="109" t="s">
        <v>255</v>
      </c>
      <c r="Z66" s="109" t="s">
        <v>255</v>
      </c>
      <c r="AA66" s="109" t="s">
        <v>255</v>
      </c>
      <c r="AB66" s="109" t="s">
        <v>255</v>
      </c>
      <c r="AC66" s="109" t="s">
        <v>255</v>
      </c>
      <c r="AD66" s="109" t="s">
        <v>255</v>
      </c>
      <c r="AE66" s="109" t="s">
        <v>255</v>
      </c>
      <c r="AF66" s="109" t="s">
        <v>255</v>
      </c>
      <c r="AG66" s="109" t="s">
        <v>255</v>
      </c>
      <c r="AH66" s="109" t="s">
        <v>255</v>
      </c>
      <c r="AI66" s="109" t="s">
        <v>255</v>
      </c>
      <c r="AJ66" s="109" t="s">
        <v>255</v>
      </c>
      <c r="AK66" s="109" t="s">
        <v>255</v>
      </c>
    </row>
    <row r="67" spans="1:37" x14ac:dyDescent="0.25">
      <c r="A67" s="89" t="s">
        <v>98</v>
      </c>
      <c r="B67" s="89" t="s">
        <v>101</v>
      </c>
      <c r="C67" s="105">
        <v>570924.99899999995</v>
      </c>
      <c r="D67" s="105">
        <v>562983.62699999998</v>
      </c>
      <c r="E67" s="106">
        <v>565476</v>
      </c>
      <c r="F67" s="106">
        <v>575482.80000000005</v>
      </c>
      <c r="G67" s="106">
        <v>587454.30000000005</v>
      </c>
      <c r="H67" s="106">
        <v>588730.1</v>
      </c>
      <c r="I67" s="106">
        <v>603257.69999999995</v>
      </c>
      <c r="J67" s="106">
        <v>613268</v>
      </c>
      <c r="K67" s="106">
        <v>637397.19999999995</v>
      </c>
      <c r="L67" s="105">
        <v>607465.07200000004</v>
      </c>
      <c r="M67" s="106">
        <v>618616</v>
      </c>
      <c r="N67" s="106">
        <v>620634</v>
      </c>
      <c r="O67" s="105">
        <v>615367.72699999996</v>
      </c>
      <c r="P67" s="105">
        <v>624160.72699999996</v>
      </c>
      <c r="Q67" s="105">
        <v>633921.728</v>
      </c>
      <c r="R67" s="105">
        <v>638975.79599999997</v>
      </c>
      <c r="S67" s="105">
        <v>639519.76300000004</v>
      </c>
      <c r="T67" s="105">
        <v>634186.027</v>
      </c>
      <c r="U67" s="105">
        <v>630849.01199999999</v>
      </c>
      <c r="V67" s="105">
        <v>588035.91099999996</v>
      </c>
      <c r="W67" s="105">
        <v>583073.35499999998</v>
      </c>
      <c r="X67" s="105">
        <v>569874.64099999995</v>
      </c>
      <c r="Y67" s="105">
        <v>568493.38300000003</v>
      </c>
      <c r="Z67" s="105">
        <v>546478.625</v>
      </c>
      <c r="AA67" s="105">
        <v>549130.47400000005</v>
      </c>
      <c r="AB67" s="105">
        <v>575750.049</v>
      </c>
      <c r="AC67" s="105">
        <v>575409.52899999998</v>
      </c>
      <c r="AD67" s="105">
        <v>588041.67599999998</v>
      </c>
      <c r="AE67" s="105">
        <v>579687.87399999995</v>
      </c>
      <c r="AF67" s="106">
        <v>570162.37</v>
      </c>
      <c r="AG67" s="105">
        <v>501980.22700000001</v>
      </c>
      <c r="AH67" s="105">
        <v>519913.74599999998</v>
      </c>
      <c r="AI67" s="105">
        <v>542008.93099999998</v>
      </c>
      <c r="AJ67" s="105">
        <v>534315.96299999999</v>
      </c>
      <c r="AK67" s="106">
        <v>529654.81999999995</v>
      </c>
    </row>
    <row r="68" spans="1:37" x14ac:dyDescent="0.25">
      <c r="A68" s="89" t="s">
        <v>98</v>
      </c>
      <c r="B68" s="89" t="s">
        <v>108</v>
      </c>
      <c r="C68" s="109" t="s">
        <v>255</v>
      </c>
      <c r="D68" s="109" t="s">
        <v>255</v>
      </c>
      <c r="E68" s="109" t="s">
        <v>255</v>
      </c>
      <c r="F68" s="109" t="s">
        <v>255</v>
      </c>
      <c r="G68" s="109" t="s">
        <v>255</v>
      </c>
      <c r="H68" s="109" t="s">
        <v>255</v>
      </c>
      <c r="I68" s="109" t="s">
        <v>255</v>
      </c>
      <c r="J68" s="109" t="s">
        <v>255</v>
      </c>
      <c r="K68" s="109" t="s">
        <v>255</v>
      </c>
      <c r="L68" s="109" t="s">
        <v>255</v>
      </c>
      <c r="M68" s="109" t="s">
        <v>255</v>
      </c>
      <c r="N68" s="109" t="s">
        <v>255</v>
      </c>
      <c r="O68" s="109" t="s">
        <v>255</v>
      </c>
      <c r="P68" s="109" t="s">
        <v>255</v>
      </c>
      <c r="Q68" s="109" t="s">
        <v>255</v>
      </c>
      <c r="R68" s="109" t="s">
        <v>255</v>
      </c>
      <c r="S68" s="109" t="s">
        <v>255</v>
      </c>
      <c r="T68" s="109" t="s">
        <v>255</v>
      </c>
      <c r="U68" s="109" t="s">
        <v>255</v>
      </c>
      <c r="V68" s="109" t="s">
        <v>255</v>
      </c>
      <c r="W68" s="109" t="s">
        <v>255</v>
      </c>
      <c r="X68" s="109" t="s">
        <v>255</v>
      </c>
      <c r="Y68" s="109" t="s">
        <v>255</v>
      </c>
      <c r="Z68" s="109" t="s">
        <v>255</v>
      </c>
      <c r="AA68" s="109" t="s">
        <v>255</v>
      </c>
      <c r="AB68" s="109" t="s">
        <v>255</v>
      </c>
      <c r="AC68" s="109" t="s">
        <v>255</v>
      </c>
      <c r="AD68" s="109" t="s">
        <v>255</v>
      </c>
      <c r="AE68" s="109" t="s">
        <v>255</v>
      </c>
      <c r="AF68" s="109" t="s">
        <v>255</v>
      </c>
      <c r="AG68" s="109" t="s">
        <v>255</v>
      </c>
      <c r="AH68" s="109" t="s">
        <v>255</v>
      </c>
      <c r="AI68" s="109" t="s">
        <v>255</v>
      </c>
      <c r="AJ68" s="109" t="s">
        <v>255</v>
      </c>
      <c r="AK68" s="109" t="s">
        <v>255</v>
      </c>
    </row>
    <row r="69" spans="1:37" x14ac:dyDescent="0.25">
      <c r="A69" s="89" t="s">
        <v>98</v>
      </c>
      <c r="B69" s="89" t="s">
        <v>102</v>
      </c>
      <c r="C69" s="106">
        <v>14521</v>
      </c>
      <c r="D69" s="106">
        <v>13700</v>
      </c>
      <c r="E69" s="106">
        <v>13642</v>
      </c>
      <c r="F69" s="106">
        <v>13757</v>
      </c>
      <c r="G69" s="106">
        <v>14729</v>
      </c>
      <c r="H69" s="106">
        <v>13765</v>
      </c>
      <c r="I69" s="106">
        <v>13916</v>
      </c>
      <c r="J69" s="106">
        <v>14903</v>
      </c>
      <c r="K69" s="106">
        <v>15295</v>
      </c>
      <c r="L69" s="106">
        <v>13472</v>
      </c>
      <c r="M69" s="106">
        <v>15191</v>
      </c>
      <c r="N69" s="106">
        <v>15047</v>
      </c>
      <c r="O69" s="106">
        <v>14563</v>
      </c>
      <c r="P69" s="106">
        <v>15093</v>
      </c>
      <c r="Q69" s="105">
        <v>15174.463</v>
      </c>
      <c r="R69" s="105">
        <v>15346.671</v>
      </c>
      <c r="S69" s="105">
        <v>15225.416999999999</v>
      </c>
      <c r="T69" s="105">
        <v>15430.627</v>
      </c>
      <c r="U69" s="105">
        <v>13749.647000000001</v>
      </c>
      <c r="V69" s="105">
        <v>14590.856</v>
      </c>
      <c r="W69" s="105">
        <v>15772.165000000001</v>
      </c>
      <c r="X69" s="105">
        <v>15718.513999999999</v>
      </c>
      <c r="Y69" s="105">
        <v>15183.874</v>
      </c>
      <c r="Z69" s="105">
        <v>13884.484</v>
      </c>
      <c r="AA69" s="106">
        <v>15170.97</v>
      </c>
      <c r="AB69" s="105">
        <v>16010.308999999999</v>
      </c>
      <c r="AC69" s="105">
        <v>15265.981</v>
      </c>
      <c r="AD69" s="106">
        <v>15899.17</v>
      </c>
      <c r="AE69" s="105">
        <v>14434.891</v>
      </c>
      <c r="AF69" s="105">
        <v>14873.117</v>
      </c>
      <c r="AG69" s="105">
        <v>14846.662</v>
      </c>
      <c r="AH69" s="105">
        <v>14846.572</v>
      </c>
      <c r="AI69" s="105">
        <v>15841.971</v>
      </c>
      <c r="AJ69" s="105">
        <v>14374.904</v>
      </c>
      <c r="AK69" s="105">
        <v>11684.064</v>
      </c>
    </row>
    <row r="70" spans="1:37" x14ac:dyDescent="0.25">
      <c r="A70" s="89" t="s">
        <v>98</v>
      </c>
      <c r="B70" s="89" t="s">
        <v>103</v>
      </c>
      <c r="C70" s="108">
        <v>4522.4549999999999</v>
      </c>
      <c r="D70" s="108">
        <v>4301.0910000000003</v>
      </c>
      <c r="E70" s="108">
        <v>4401.3180000000002</v>
      </c>
      <c r="F70" s="108">
        <v>5158.4549999999999</v>
      </c>
      <c r="G70" s="108">
        <v>5326.0910000000003</v>
      </c>
      <c r="H70" s="108">
        <v>4554.4549999999999</v>
      </c>
      <c r="I70" s="108">
        <v>4200.3909999999996</v>
      </c>
      <c r="J70" s="108">
        <v>4678.7269999999999</v>
      </c>
      <c r="K70" s="108">
        <v>4519.3639999999996</v>
      </c>
      <c r="L70" s="108">
        <v>4718.4549999999999</v>
      </c>
      <c r="M70" s="108">
        <v>4988.1819999999998</v>
      </c>
      <c r="N70" s="108">
        <v>4895.5450000000001</v>
      </c>
      <c r="O70" s="108">
        <v>6036.3639999999996</v>
      </c>
      <c r="P70" s="108">
        <v>5437.1819999999998</v>
      </c>
      <c r="Q70" s="108">
        <v>5490.7269999999999</v>
      </c>
      <c r="R70" s="108">
        <v>5596.2730000000001</v>
      </c>
      <c r="S70" s="107">
        <v>5737</v>
      </c>
      <c r="T70" s="108">
        <v>4829.6360000000004</v>
      </c>
      <c r="U70" s="108">
        <v>4727.7269999999999</v>
      </c>
      <c r="V70" s="108">
        <v>4543.6819999999998</v>
      </c>
      <c r="W70" s="108">
        <v>4495.9089999999997</v>
      </c>
      <c r="X70" s="108">
        <v>4364.1819999999998</v>
      </c>
      <c r="Y70" s="108">
        <v>3846.4549999999999</v>
      </c>
      <c r="Z70" s="108">
        <v>4462.5450000000001</v>
      </c>
      <c r="AA70" s="108">
        <v>4789.9089999999997</v>
      </c>
      <c r="AB70" s="107">
        <v>4330.92</v>
      </c>
      <c r="AC70" s="108">
        <v>4306.8959999999997</v>
      </c>
      <c r="AD70" s="108">
        <v>4589.9989999999998</v>
      </c>
      <c r="AE70" s="108">
        <v>4245.2359999999999</v>
      </c>
      <c r="AF70" s="108">
        <v>3949.7629999999999</v>
      </c>
      <c r="AG70" s="108">
        <v>4061.9540000000002</v>
      </c>
      <c r="AH70" s="108">
        <v>5028.4380000000001</v>
      </c>
      <c r="AI70" s="108">
        <v>4792.9089999999997</v>
      </c>
      <c r="AJ70" s="108">
        <v>6324.4489999999996</v>
      </c>
      <c r="AK70" s="108">
        <v>5096.1580000000004</v>
      </c>
    </row>
    <row r="71" spans="1:37" x14ac:dyDescent="0.25">
      <c r="A71" s="89" t="s">
        <v>98</v>
      </c>
      <c r="B71" s="89" t="s">
        <v>104</v>
      </c>
      <c r="C71" s="106">
        <v>-1021</v>
      </c>
      <c r="D71" s="106">
        <v>-1014</v>
      </c>
      <c r="E71" s="106">
        <v>-1097.5</v>
      </c>
      <c r="F71" s="106">
        <v>-940</v>
      </c>
      <c r="G71" s="106">
        <v>-1034</v>
      </c>
      <c r="H71" s="106">
        <v>-841</v>
      </c>
      <c r="I71" s="106">
        <v>-756.3</v>
      </c>
      <c r="J71" s="106">
        <v>-729</v>
      </c>
      <c r="K71" s="106">
        <v>-468</v>
      </c>
      <c r="L71" s="106">
        <v>-516</v>
      </c>
      <c r="M71" s="106">
        <v>-401</v>
      </c>
      <c r="N71" s="106">
        <v>-395</v>
      </c>
      <c r="O71" s="106">
        <v>-606</v>
      </c>
      <c r="P71" s="106">
        <v>-621</v>
      </c>
      <c r="Q71" s="106">
        <v>-692</v>
      </c>
      <c r="R71" s="106">
        <v>-612</v>
      </c>
      <c r="S71" s="106">
        <v>-474</v>
      </c>
      <c r="T71" s="106">
        <v>-439</v>
      </c>
      <c r="U71" s="106">
        <v>-511</v>
      </c>
      <c r="V71" s="106">
        <v>-487.5</v>
      </c>
      <c r="W71" s="106">
        <v>-542</v>
      </c>
      <c r="X71" s="106">
        <v>-442</v>
      </c>
      <c r="Y71" s="106">
        <v>-263</v>
      </c>
      <c r="Z71" s="106">
        <v>-768</v>
      </c>
      <c r="AA71" s="106">
        <v>-1202</v>
      </c>
      <c r="AB71" s="105">
        <v>-1052.9390000000001</v>
      </c>
      <c r="AC71" s="105">
        <v>-855.93399999999997</v>
      </c>
      <c r="AD71" s="105">
        <v>-1555.191</v>
      </c>
      <c r="AE71" s="105">
        <v>-1660.1030000000001</v>
      </c>
      <c r="AF71" s="106">
        <v>-1781.89</v>
      </c>
      <c r="AG71" s="105">
        <v>-1703.002</v>
      </c>
      <c r="AH71" s="105">
        <v>-2795.6550000000002</v>
      </c>
      <c r="AI71" s="105">
        <v>-2333.2350000000001</v>
      </c>
      <c r="AJ71" s="105">
        <v>-2606.1709999999998</v>
      </c>
      <c r="AK71" s="105">
        <v>-2550.6410000000001</v>
      </c>
    </row>
    <row r="72" spans="1:37" x14ac:dyDescent="0.25">
      <c r="A72" s="89" t="s">
        <v>98</v>
      </c>
      <c r="B72" s="89" t="s">
        <v>105</v>
      </c>
      <c r="C72" s="107">
        <v>14949</v>
      </c>
      <c r="D72" s="107">
        <v>12447</v>
      </c>
      <c r="E72" s="107">
        <v>14856</v>
      </c>
      <c r="F72" s="107">
        <v>17528</v>
      </c>
      <c r="G72" s="107">
        <v>15830</v>
      </c>
      <c r="H72" s="107">
        <v>16523</v>
      </c>
      <c r="I72" s="107">
        <v>18214</v>
      </c>
      <c r="J72" s="107">
        <v>17899</v>
      </c>
      <c r="K72" s="107">
        <v>18722</v>
      </c>
      <c r="L72" s="107">
        <v>19895</v>
      </c>
      <c r="M72" s="107">
        <v>20027</v>
      </c>
      <c r="N72" s="107">
        <v>18478</v>
      </c>
      <c r="O72" s="107">
        <v>24834</v>
      </c>
      <c r="P72" s="107">
        <v>19399</v>
      </c>
      <c r="Q72" s="107">
        <v>19042</v>
      </c>
      <c r="R72" s="108">
        <v>16915.778999999999</v>
      </c>
      <c r="S72" s="108">
        <v>20418.881000000001</v>
      </c>
      <c r="T72" s="108">
        <v>22112.321</v>
      </c>
      <c r="U72" s="108">
        <v>21658.183000000001</v>
      </c>
      <c r="V72" s="108">
        <v>23778.577000000001</v>
      </c>
      <c r="W72" s="107">
        <v>24809.78</v>
      </c>
      <c r="X72" s="107">
        <v>24403.89</v>
      </c>
      <c r="Y72" s="108">
        <v>23203.206999999999</v>
      </c>
      <c r="Z72" s="108">
        <v>22653.546999999999</v>
      </c>
      <c r="AA72" s="107">
        <v>23632.87</v>
      </c>
      <c r="AB72" s="108">
        <v>20666.475999999999</v>
      </c>
      <c r="AC72" s="108">
        <v>22770.325000000001</v>
      </c>
      <c r="AD72" s="108">
        <v>22916.131000000001</v>
      </c>
      <c r="AE72" s="108">
        <v>25019.800999999999</v>
      </c>
      <c r="AF72" s="108">
        <v>27907.239000000001</v>
      </c>
      <c r="AG72" s="108">
        <v>25298.813999999998</v>
      </c>
      <c r="AH72" s="108">
        <v>30387.105</v>
      </c>
      <c r="AI72" s="108">
        <v>29369.911</v>
      </c>
      <c r="AJ72" s="108">
        <v>25568.986000000001</v>
      </c>
      <c r="AK72" s="108">
        <v>23703.848000000002</v>
      </c>
    </row>
    <row r="73" spans="1:37" x14ac:dyDescent="0.25">
      <c r="A73" s="89" t="s">
        <v>98</v>
      </c>
      <c r="B73" s="89" t="s">
        <v>106</v>
      </c>
      <c r="C73" s="105">
        <v>7917.4549999999999</v>
      </c>
      <c r="D73" s="105">
        <v>8026.0910000000003</v>
      </c>
      <c r="E73" s="105">
        <v>7871.3180000000002</v>
      </c>
      <c r="F73" s="105">
        <v>8678.4549999999999</v>
      </c>
      <c r="G73" s="105">
        <v>8941.0910000000003</v>
      </c>
      <c r="H73" s="105">
        <v>8980.4549999999999</v>
      </c>
      <c r="I73" s="105">
        <v>9732.3909999999996</v>
      </c>
      <c r="J73" s="105">
        <v>10728.727000000001</v>
      </c>
      <c r="K73" s="105">
        <v>10017.364</v>
      </c>
      <c r="L73" s="105">
        <v>10491.455</v>
      </c>
      <c r="M73" s="105">
        <v>11338.182000000001</v>
      </c>
      <c r="N73" s="105">
        <v>11539.545</v>
      </c>
      <c r="O73" s="105">
        <v>13435.364</v>
      </c>
      <c r="P73" s="105">
        <v>13150.182000000001</v>
      </c>
      <c r="Q73" s="106">
        <v>14235.19</v>
      </c>
      <c r="R73" s="105">
        <v>14617.102000000001</v>
      </c>
      <c r="S73" s="105">
        <v>15585.453</v>
      </c>
      <c r="T73" s="105">
        <v>17202.457999999999</v>
      </c>
      <c r="U73" s="105">
        <v>19862.828000000001</v>
      </c>
      <c r="V73" s="105">
        <v>24455.002</v>
      </c>
      <c r="W73" s="105">
        <v>27117.365000000002</v>
      </c>
      <c r="X73" s="105">
        <v>26441.424999999999</v>
      </c>
      <c r="Y73" s="105">
        <v>28039.077000000001</v>
      </c>
      <c r="Z73" s="105">
        <v>26825.190999999999</v>
      </c>
      <c r="AA73" s="106">
        <v>28349.360000000001</v>
      </c>
      <c r="AB73" s="105">
        <v>28403.084999999999</v>
      </c>
      <c r="AC73" s="106">
        <v>28110.1</v>
      </c>
      <c r="AD73" s="105">
        <v>29420.888999999999</v>
      </c>
      <c r="AE73" s="105">
        <v>30292.634999999998</v>
      </c>
      <c r="AF73" s="105">
        <v>30581.103999999999</v>
      </c>
      <c r="AG73" s="105">
        <v>31672.749</v>
      </c>
      <c r="AH73" s="105">
        <v>33522.593000000001</v>
      </c>
      <c r="AI73" s="106">
        <v>33547.57</v>
      </c>
      <c r="AJ73" s="105">
        <v>34429.123</v>
      </c>
      <c r="AK73" s="105">
        <v>31687.011999999999</v>
      </c>
    </row>
    <row r="74" spans="1:37" x14ac:dyDescent="0.25">
      <c r="A74" s="89" t="s">
        <v>93</v>
      </c>
      <c r="B74" s="89" t="s">
        <v>47</v>
      </c>
      <c r="C74" s="109" t="s">
        <v>255</v>
      </c>
      <c r="D74" s="109" t="s">
        <v>255</v>
      </c>
      <c r="E74" s="109" t="s">
        <v>255</v>
      </c>
      <c r="F74" s="109" t="s">
        <v>255</v>
      </c>
      <c r="G74" s="109" t="s">
        <v>255</v>
      </c>
      <c r="H74" s="109" t="s">
        <v>255</v>
      </c>
      <c r="I74" s="109" t="s">
        <v>255</v>
      </c>
      <c r="J74" s="109" t="s">
        <v>255</v>
      </c>
      <c r="K74" s="109" t="s">
        <v>255</v>
      </c>
      <c r="L74" s="109" t="s">
        <v>255</v>
      </c>
      <c r="M74" s="109" t="s">
        <v>255</v>
      </c>
      <c r="N74" s="109" t="s">
        <v>255</v>
      </c>
      <c r="O74" s="109" t="s">
        <v>255</v>
      </c>
      <c r="P74" s="109" t="s">
        <v>255</v>
      </c>
      <c r="Q74" s="109" t="s">
        <v>255</v>
      </c>
      <c r="R74" s="109" t="s">
        <v>255</v>
      </c>
      <c r="S74" s="109" t="s">
        <v>255</v>
      </c>
      <c r="T74" s="109" t="s">
        <v>255</v>
      </c>
      <c r="U74" s="109" t="s">
        <v>255</v>
      </c>
      <c r="V74" s="109" t="s">
        <v>255</v>
      </c>
      <c r="W74" s="109" t="s">
        <v>255</v>
      </c>
      <c r="X74" s="109" t="s">
        <v>255</v>
      </c>
      <c r="Y74" s="109" t="s">
        <v>255</v>
      </c>
      <c r="Z74" s="109" t="s">
        <v>255</v>
      </c>
      <c r="AA74" s="109" t="s">
        <v>255</v>
      </c>
      <c r="AB74" s="109" t="s">
        <v>255</v>
      </c>
      <c r="AC74" s="109" t="s">
        <v>255</v>
      </c>
      <c r="AD74" s="109" t="s">
        <v>255</v>
      </c>
      <c r="AE74" s="109" t="s">
        <v>255</v>
      </c>
      <c r="AF74" s="109" t="s">
        <v>255</v>
      </c>
      <c r="AG74" s="109" t="s">
        <v>255</v>
      </c>
      <c r="AH74" s="109" t="s">
        <v>255</v>
      </c>
      <c r="AI74" s="109" t="s">
        <v>255</v>
      </c>
      <c r="AJ74" s="109" t="s">
        <v>255</v>
      </c>
      <c r="AK74" s="109" t="s">
        <v>255</v>
      </c>
    </row>
    <row r="75" spans="1:37" x14ac:dyDescent="0.25">
      <c r="A75" s="89" t="s">
        <v>93</v>
      </c>
      <c r="B75" s="89" t="s">
        <v>48</v>
      </c>
      <c r="C75" s="110" t="s">
        <v>255</v>
      </c>
      <c r="D75" s="110" t="s">
        <v>255</v>
      </c>
      <c r="E75" s="110" t="s">
        <v>255</v>
      </c>
      <c r="F75" s="110" t="s">
        <v>255</v>
      </c>
      <c r="G75" s="110" t="s">
        <v>255</v>
      </c>
      <c r="H75" s="110" t="s">
        <v>255</v>
      </c>
      <c r="I75" s="110" t="s">
        <v>255</v>
      </c>
      <c r="J75" s="110" t="s">
        <v>255</v>
      </c>
      <c r="K75" s="110" t="s">
        <v>255</v>
      </c>
      <c r="L75" s="110" t="s">
        <v>255</v>
      </c>
      <c r="M75" s="110" t="s">
        <v>255</v>
      </c>
      <c r="N75" s="110" t="s">
        <v>255</v>
      </c>
      <c r="O75" s="110" t="s">
        <v>255</v>
      </c>
      <c r="P75" s="110" t="s">
        <v>255</v>
      </c>
      <c r="Q75" s="110" t="s">
        <v>255</v>
      </c>
      <c r="R75" s="110" t="s">
        <v>255</v>
      </c>
      <c r="S75" s="110" t="s">
        <v>255</v>
      </c>
      <c r="T75" s="110" t="s">
        <v>255</v>
      </c>
      <c r="U75" s="110" t="s">
        <v>255</v>
      </c>
      <c r="V75" s="110" t="s">
        <v>255</v>
      </c>
      <c r="W75" s="110" t="s">
        <v>255</v>
      </c>
      <c r="X75" s="110" t="s">
        <v>255</v>
      </c>
      <c r="Y75" s="110" t="s">
        <v>255</v>
      </c>
      <c r="Z75" s="110" t="s">
        <v>255</v>
      </c>
      <c r="AA75" s="110" t="s">
        <v>255</v>
      </c>
      <c r="AB75" s="110" t="s">
        <v>255</v>
      </c>
      <c r="AC75" s="110" t="s">
        <v>255</v>
      </c>
      <c r="AD75" s="110" t="s">
        <v>255</v>
      </c>
      <c r="AE75" s="110" t="s">
        <v>255</v>
      </c>
      <c r="AF75" s="110" t="s">
        <v>255</v>
      </c>
      <c r="AG75" s="110" t="s">
        <v>255</v>
      </c>
      <c r="AH75" s="110" t="s">
        <v>255</v>
      </c>
      <c r="AI75" s="110" t="s">
        <v>255</v>
      </c>
      <c r="AJ75" s="110" t="s">
        <v>255</v>
      </c>
      <c r="AK75" s="110" t="s">
        <v>255</v>
      </c>
    </row>
    <row r="76" spans="1:37" x14ac:dyDescent="0.25">
      <c r="A76" s="89" t="s">
        <v>93</v>
      </c>
      <c r="B76" s="89" t="s">
        <v>99</v>
      </c>
      <c r="C76" s="107">
        <v>596</v>
      </c>
      <c r="D76" s="107">
        <v>670</v>
      </c>
      <c r="E76" s="107">
        <v>640</v>
      </c>
      <c r="F76" s="107">
        <v>574</v>
      </c>
      <c r="G76" s="107">
        <v>596</v>
      </c>
      <c r="H76" s="107">
        <v>654</v>
      </c>
      <c r="I76" s="107">
        <v>749</v>
      </c>
      <c r="J76" s="107">
        <v>700</v>
      </c>
      <c r="K76" s="107">
        <v>812</v>
      </c>
      <c r="L76" s="107">
        <v>911</v>
      </c>
      <c r="M76" s="107">
        <v>1024</v>
      </c>
      <c r="N76" s="107">
        <v>1152</v>
      </c>
      <c r="O76" s="107">
        <v>1150</v>
      </c>
      <c r="P76" s="107">
        <v>1099</v>
      </c>
      <c r="Q76" s="107">
        <v>1010</v>
      </c>
      <c r="R76" s="107">
        <v>930</v>
      </c>
      <c r="S76" s="107">
        <v>939</v>
      </c>
      <c r="T76" s="107">
        <v>1013</v>
      </c>
      <c r="U76" s="107">
        <v>1013</v>
      </c>
      <c r="V76" s="107">
        <v>961</v>
      </c>
      <c r="W76" s="107">
        <v>877</v>
      </c>
      <c r="X76" s="107">
        <v>951</v>
      </c>
      <c r="Y76" s="108">
        <v>1053.9680000000001</v>
      </c>
      <c r="Z76" s="108">
        <v>1076.6289999999999</v>
      </c>
      <c r="AA76" s="108">
        <v>1253.605</v>
      </c>
      <c r="AB76" s="108">
        <v>1089.1610000000001</v>
      </c>
      <c r="AC76" s="108">
        <v>1096.1420000000001</v>
      </c>
      <c r="AD76" s="108">
        <v>1162.374</v>
      </c>
      <c r="AE76" s="108">
        <v>1133.809</v>
      </c>
      <c r="AF76" s="108">
        <v>1236.981</v>
      </c>
      <c r="AG76" s="108">
        <v>1186.1220000000001</v>
      </c>
      <c r="AH76" s="108">
        <v>1199.0519999999999</v>
      </c>
      <c r="AI76" s="108">
        <v>1255.7739999999999</v>
      </c>
      <c r="AJ76" s="108">
        <v>1359.1210000000001</v>
      </c>
      <c r="AK76" s="108">
        <v>1173.4739999999999</v>
      </c>
    </row>
    <row r="77" spans="1:37" x14ac:dyDescent="0.25">
      <c r="A77" s="89" t="s">
        <v>93</v>
      </c>
      <c r="B77" s="89" t="s">
        <v>49</v>
      </c>
      <c r="C77" s="105">
        <v>205762.777</v>
      </c>
      <c r="D77" s="105">
        <v>204465.101</v>
      </c>
      <c r="E77" s="105">
        <v>198926.095</v>
      </c>
      <c r="F77" s="105">
        <v>201745.587</v>
      </c>
      <c r="G77" s="105">
        <v>195193.61300000001</v>
      </c>
      <c r="H77" s="106">
        <v>196093.44</v>
      </c>
      <c r="I77" s="105">
        <v>206548.26699999999</v>
      </c>
      <c r="J77" s="105">
        <v>206672.07199999999</v>
      </c>
      <c r="K77" s="105">
        <v>209434.08199999999</v>
      </c>
      <c r="L77" s="105">
        <v>209376.383</v>
      </c>
      <c r="M77" s="105">
        <v>219735.182</v>
      </c>
      <c r="N77" s="105">
        <v>226906.698</v>
      </c>
      <c r="O77" s="105">
        <v>235167.261</v>
      </c>
      <c r="P77" s="106">
        <v>237100.31</v>
      </c>
      <c r="Q77" s="105">
        <v>250959.019</v>
      </c>
      <c r="R77" s="105">
        <v>272267.26299999998</v>
      </c>
      <c r="S77" s="105">
        <v>279379.66600000003</v>
      </c>
      <c r="T77" s="106">
        <v>265494.51</v>
      </c>
      <c r="U77" s="105">
        <v>278644.076</v>
      </c>
      <c r="V77" s="105">
        <v>279399.30099999998</v>
      </c>
      <c r="W77" s="106">
        <v>290841.96999999997</v>
      </c>
      <c r="X77" s="106">
        <v>289276.77</v>
      </c>
      <c r="Y77" s="105">
        <v>281785.02899999998</v>
      </c>
      <c r="Z77" s="105">
        <v>289994.13400000002</v>
      </c>
      <c r="AA77" s="105">
        <v>287816.44400000002</v>
      </c>
      <c r="AB77" s="105">
        <v>306129.29399999999</v>
      </c>
      <c r="AC77" s="105">
        <v>317325.63799999998</v>
      </c>
      <c r="AD77" s="105">
        <v>318602.554</v>
      </c>
      <c r="AE77" s="105">
        <v>317536.70600000001</v>
      </c>
      <c r="AF77" s="106">
        <v>316619.59000000003</v>
      </c>
      <c r="AG77" s="105">
        <v>280797.21399999998</v>
      </c>
      <c r="AH77" s="106">
        <v>297062.89</v>
      </c>
      <c r="AI77" s="105">
        <v>301680.68400000001</v>
      </c>
      <c r="AJ77" s="105">
        <v>288398.07699999999</v>
      </c>
      <c r="AK77" s="105">
        <v>293457.53200000001</v>
      </c>
    </row>
    <row r="78" spans="1:37" x14ac:dyDescent="0.25">
      <c r="A78" s="89" t="s">
        <v>93</v>
      </c>
      <c r="B78" s="89" t="s">
        <v>50</v>
      </c>
      <c r="C78" s="108">
        <v>172029.236</v>
      </c>
      <c r="D78" s="108">
        <v>161910.30100000001</v>
      </c>
      <c r="E78" s="108">
        <v>162558.973</v>
      </c>
      <c r="F78" s="107">
        <v>172777.2</v>
      </c>
      <c r="G78" s="108">
        <v>173963.65700000001</v>
      </c>
      <c r="H78" s="108">
        <v>165552.152</v>
      </c>
      <c r="I78" s="107">
        <v>172571</v>
      </c>
      <c r="J78" s="108">
        <v>176748.264</v>
      </c>
      <c r="K78" s="107">
        <v>183296.5</v>
      </c>
      <c r="L78" s="108">
        <v>178588.50399999999</v>
      </c>
      <c r="M78" s="108">
        <v>192468.989</v>
      </c>
      <c r="N78" s="108">
        <v>194212.50599999999</v>
      </c>
      <c r="O78" s="108">
        <v>193806.35399999999</v>
      </c>
      <c r="P78" s="108">
        <v>201273.28599999999</v>
      </c>
      <c r="Q78" s="108">
        <v>225604.69099999999</v>
      </c>
      <c r="R78" s="108">
        <v>244421.46299999999</v>
      </c>
      <c r="S78" s="108">
        <v>252494.351</v>
      </c>
      <c r="T78" s="107">
        <v>248766.93</v>
      </c>
      <c r="U78" s="108">
        <v>258741.43299999999</v>
      </c>
      <c r="V78" s="108">
        <v>254742.10200000001</v>
      </c>
      <c r="W78" s="108">
        <v>266747.07400000002</v>
      </c>
      <c r="X78" s="108">
        <v>266963.84399999998</v>
      </c>
      <c r="Y78" s="108">
        <v>286903.00400000002</v>
      </c>
      <c r="Z78" s="108">
        <v>289812.65399999998</v>
      </c>
      <c r="AA78" s="108">
        <v>291757.89399999997</v>
      </c>
      <c r="AB78" s="108">
        <v>325324.77399999998</v>
      </c>
      <c r="AC78" s="108">
        <v>335013.65399999998</v>
      </c>
      <c r="AD78" s="108">
        <v>341222.54599999997</v>
      </c>
      <c r="AE78" s="107">
        <v>331498.87</v>
      </c>
      <c r="AF78" s="108">
        <v>312671.70600000001</v>
      </c>
      <c r="AG78" s="108">
        <v>278469.98599999998</v>
      </c>
      <c r="AH78" s="108">
        <v>304474.011</v>
      </c>
      <c r="AI78" s="108">
        <v>301431.63199999998</v>
      </c>
      <c r="AJ78" s="108">
        <v>299995.87099999998</v>
      </c>
      <c r="AK78" s="108">
        <v>303354.82400000002</v>
      </c>
    </row>
    <row r="79" spans="1:37" x14ac:dyDescent="0.25">
      <c r="A79" s="89" t="s">
        <v>93</v>
      </c>
      <c r="B79" s="89" t="s">
        <v>51</v>
      </c>
      <c r="C79" s="106">
        <v>968</v>
      </c>
      <c r="D79" s="106">
        <v>-95.2</v>
      </c>
      <c r="E79" s="106">
        <v>379.1</v>
      </c>
      <c r="F79" s="106">
        <v>620.1</v>
      </c>
      <c r="G79" s="106">
        <v>-2397.1999999999998</v>
      </c>
      <c r="H79" s="106">
        <v>1704</v>
      </c>
      <c r="I79" s="106">
        <v>227.8</v>
      </c>
      <c r="J79" s="106">
        <v>-2051.5</v>
      </c>
      <c r="K79" s="106">
        <v>-4852</v>
      </c>
      <c r="L79" s="106">
        <v>9078.1</v>
      </c>
      <c r="M79" s="105">
        <v>-5060.2560000000003</v>
      </c>
      <c r="N79" s="105">
        <v>3496.4859999999999</v>
      </c>
      <c r="O79" s="105">
        <v>2802.9690000000001</v>
      </c>
      <c r="P79" s="105">
        <v>-1437.643</v>
      </c>
      <c r="Q79" s="105">
        <v>2141.8879999999999</v>
      </c>
      <c r="R79" s="105">
        <v>-7178.7849999999999</v>
      </c>
      <c r="S79" s="105">
        <v>-1654.0840000000001</v>
      </c>
      <c r="T79" s="105">
        <v>2204.2260000000001</v>
      </c>
      <c r="U79" s="105">
        <v>-1766.1079999999999</v>
      </c>
      <c r="V79" s="105">
        <v>-1018.644</v>
      </c>
      <c r="W79" s="105">
        <v>1575.9459999999999</v>
      </c>
      <c r="X79" s="106">
        <v>2262.63</v>
      </c>
      <c r="Y79" s="106">
        <v>2933.73</v>
      </c>
      <c r="Z79" s="106">
        <v>2075.4899999999998</v>
      </c>
      <c r="AA79" s="105">
        <v>-507.60700000000003</v>
      </c>
      <c r="AB79" s="105">
        <v>-7597.0640000000003</v>
      </c>
      <c r="AC79" s="105">
        <v>-1133.221</v>
      </c>
      <c r="AD79" s="106">
        <v>6625.93</v>
      </c>
      <c r="AE79" s="106">
        <v>2864.31</v>
      </c>
      <c r="AF79" s="105">
        <v>-2911.7109999999998</v>
      </c>
      <c r="AG79" s="105">
        <v>-5969.7380000000003</v>
      </c>
      <c r="AH79" s="105">
        <v>13932.743</v>
      </c>
      <c r="AI79" s="105">
        <v>-3236.0210000000002</v>
      </c>
      <c r="AJ79" s="105">
        <v>2165.1480000000001</v>
      </c>
      <c r="AK79" s="105">
        <v>-2659.9589999999998</v>
      </c>
    </row>
    <row r="80" spans="1:37" x14ac:dyDescent="0.25">
      <c r="A80" s="89" t="s">
        <v>93</v>
      </c>
      <c r="B80" s="89" t="s">
        <v>52</v>
      </c>
      <c r="C80" s="107">
        <v>33841</v>
      </c>
      <c r="D80" s="107">
        <v>33572</v>
      </c>
      <c r="E80" s="107">
        <v>33850</v>
      </c>
      <c r="F80" s="107">
        <v>33778</v>
      </c>
      <c r="G80" s="107">
        <v>33303</v>
      </c>
      <c r="H80" s="107">
        <v>33463.699999999997</v>
      </c>
      <c r="I80" s="107">
        <v>35175.1</v>
      </c>
      <c r="J80" s="107">
        <v>37763.800000000003</v>
      </c>
      <c r="K80" s="107">
        <v>39560.199999999997</v>
      </c>
      <c r="L80" s="107">
        <v>38096.300000000003</v>
      </c>
      <c r="M80" s="107">
        <v>41288.300000000003</v>
      </c>
      <c r="N80" s="107">
        <v>42575</v>
      </c>
      <c r="O80" s="107">
        <v>43851.8</v>
      </c>
      <c r="P80" s="107">
        <v>45201</v>
      </c>
      <c r="Q80" s="107">
        <v>47540.800000000003</v>
      </c>
      <c r="R80" s="108">
        <v>48466.286</v>
      </c>
      <c r="S80" s="108">
        <v>51680.737999999998</v>
      </c>
      <c r="T80" s="107">
        <v>53931.35</v>
      </c>
      <c r="U80" s="108">
        <v>53344.152999999998</v>
      </c>
      <c r="V80" s="108">
        <v>47618.631000000001</v>
      </c>
      <c r="W80" s="108">
        <v>48004.748</v>
      </c>
      <c r="X80" s="108">
        <v>47855.953999999998</v>
      </c>
      <c r="Y80" s="108">
        <v>44591.108999999997</v>
      </c>
      <c r="Z80" s="108">
        <v>42169.546999999999</v>
      </c>
      <c r="AA80" s="108">
        <v>40886.864000000001</v>
      </c>
      <c r="AB80" s="108">
        <v>40416.186999999998</v>
      </c>
      <c r="AC80" s="108">
        <v>42481.152000000002</v>
      </c>
      <c r="AD80" s="108">
        <v>43118.446000000004</v>
      </c>
      <c r="AE80" s="108">
        <v>44412.108999999997</v>
      </c>
      <c r="AF80" s="108">
        <v>43977.336000000003</v>
      </c>
      <c r="AG80" s="108">
        <v>39520.144</v>
      </c>
      <c r="AH80" s="108">
        <v>41224.421000000002</v>
      </c>
      <c r="AI80" s="107">
        <v>42719.61</v>
      </c>
      <c r="AJ80" s="108">
        <v>39641.985999999997</v>
      </c>
      <c r="AK80" s="108">
        <v>40064.207000000002</v>
      </c>
    </row>
    <row r="81" spans="1:37" x14ac:dyDescent="0.25">
      <c r="A81" s="89" t="s">
        <v>93</v>
      </c>
      <c r="B81" s="89" t="s">
        <v>89</v>
      </c>
      <c r="C81" s="105">
        <v>525765.87199999997</v>
      </c>
      <c r="D81" s="105">
        <v>533376.89199999999</v>
      </c>
      <c r="E81" s="105">
        <v>533891.84100000001</v>
      </c>
      <c r="F81" s="105">
        <v>526051.58200000005</v>
      </c>
      <c r="G81" s="105">
        <v>532563.098</v>
      </c>
      <c r="H81" s="105">
        <v>542148.28099999996</v>
      </c>
      <c r="I81" s="105">
        <v>554195.74199999997</v>
      </c>
      <c r="J81" s="105">
        <v>558666.397</v>
      </c>
      <c r="K81" s="105">
        <v>570474.84900000005</v>
      </c>
      <c r="L81" s="105">
        <v>562708.59900000005</v>
      </c>
      <c r="M81" s="105">
        <v>555149.00300000003</v>
      </c>
      <c r="N81" s="105">
        <v>564849.61100000003</v>
      </c>
      <c r="O81" s="105">
        <v>559823.87399999995</v>
      </c>
      <c r="P81" s="105">
        <v>564642.098</v>
      </c>
      <c r="Q81" s="105">
        <v>566656.25100000005</v>
      </c>
      <c r="R81" s="106">
        <v>565772.43000000005</v>
      </c>
      <c r="S81" s="105">
        <v>565398.84199999995</v>
      </c>
      <c r="T81" s="105">
        <v>552075.81599999999</v>
      </c>
      <c r="U81" s="105">
        <v>549052.11600000004</v>
      </c>
      <c r="V81" s="105">
        <v>520376.07900000003</v>
      </c>
      <c r="W81" s="105">
        <v>521137.48499999999</v>
      </c>
      <c r="X81" s="105">
        <v>507920.99200000003</v>
      </c>
      <c r="Y81" s="105">
        <v>491162.212</v>
      </c>
      <c r="Z81" s="105">
        <v>477292.31300000002</v>
      </c>
      <c r="AA81" s="105">
        <v>474475.50099999999</v>
      </c>
      <c r="AB81" s="105">
        <v>481723.42300000001</v>
      </c>
      <c r="AC81" s="105">
        <v>485267.16899999999</v>
      </c>
      <c r="AD81" s="105">
        <v>497991.21799999999</v>
      </c>
      <c r="AE81" s="105">
        <v>494240.44799999997</v>
      </c>
      <c r="AF81" s="105">
        <v>495946.48100000003</v>
      </c>
      <c r="AG81" s="105">
        <v>435991.29399999999</v>
      </c>
      <c r="AH81" s="106">
        <v>458871.67</v>
      </c>
      <c r="AI81" s="105">
        <v>470562.50400000002</v>
      </c>
      <c r="AJ81" s="105">
        <v>459309.59100000001</v>
      </c>
      <c r="AK81" s="110" t="s">
        <v>255</v>
      </c>
    </row>
    <row r="82" spans="1:37" x14ac:dyDescent="0.25">
      <c r="A82" s="89" t="s">
        <v>93</v>
      </c>
      <c r="B82" s="89" t="s">
        <v>90</v>
      </c>
      <c r="C82" s="108">
        <v>526336.24100000004</v>
      </c>
      <c r="D82" s="107">
        <v>531670.19999999995</v>
      </c>
      <c r="E82" s="108">
        <v>527526.67299999995</v>
      </c>
      <c r="F82" s="108">
        <v>525470.41299999994</v>
      </c>
      <c r="G82" s="108">
        <v>526636.87199999997</v>
      </c>
      <c r="H82" s="108">
        <v>537649.98800000001</v>
      </c>
      <c r="I82" s="108">
        <v>551044.36699999997</v>
      </c>
      <c r="J82" s="108">
        <v>555138.30799999996</v>
      </c>
      <c r="K82" s="108">
        <v>568786.68200000003</v>
      </c>
      <c r="L82" s="108">
        <v>559204.179</v>
      </c>
      <c r="M82" s="108">
        <v>547966.53700000001</v>
      </c>
      <c r="N82" s="108">
        <v>564886.07799999998</v>
      </c>
      <c r="O82" s="108">
        <v>559752.77599999995</v>
      </c>
      <c r="P82" s="108">
        <v>563707.48100000003</v>
      </c>
      <c r="Q82" s="108">
        <v>564803.87899999996</v>
      </c>
      <c r="R82" s="108">
        <v>560777.42500000005</v>
      </c>
      <c r="S82" s="107">
        <v>561635.09</v>
      </c>
      <c r="T82" s="108">
        <v>546970.67099999997</v>
      </c>
      <c r="U82" s="108">
        <v>550018.875</v>
      </c>
      <c r="V82" s="108">
        <v>523001.28100000002</v>
      </c>
      <c r="W82" s="108">
        <v>522724.47600000002</v>
      </c>
      <c r="X82" s="108">
        <v>509901.94900000002</v>
      </c>
      <c r="Y82" s="108">
        <v>490514.78499999997</v>
      </c>
      <c r="Z82" s="108">
        <v>475028.56699999998</v>
      </c>
      <c r="AA82" s="108">
        <v>474299.59499999997</v>
      </c>
      <c r="AB82" s="108">
        <v>481765.73100000003</v>
      </c>
      <c r="AC82" s="108">
        <v>484949.80300000001</v>
      </c>
      <c r="AD82" s="108">
        <v>500784.66399999999</v>
      </c>
      <c r="AE82" s="108">
        <v>497313.08799999999</v>
      </c>
      <c r="AF82" s="108">
        <v>497672.32199999999</v>
      </c>
      <c r="AG82" s="108">
        <v>435903.163</v>
      </c>
      <c r="AH82" s="108">
        <v>455696.36599999998</v>
      </c>
      <c r="AI82" s="108">
        <v>465545.95600000001</v>
      </c>
      <c r="AJ82" s="108">
        <v>459648.18599999999</v>
      </c>
      <c r="AK82" s="108">
        <v>454038.36599999998</v>
      </c>
    </row>
    <row r="83" spans="1:37" x14ac:dyDescent="0.25">
      <c r="A83" s="89" t="s">
        <v>93</v>
      </c>
      <c r="B83" s="89" t="s">
        <v>100</v>
      </c>
      <c r="C83" s="106">
        <v>564596.19999999995</v>
      </c>
      <c r="D83" s="105">
        <v>558339.48400000005</v>
      </c>
      <c r="E83" s="106">
        <v>562998</v>
      </c>
      <c r="F83" s="106">
        <v>571872.5</v>
      </c>
      <c r="G83" s="105">
        <v>582782.11600000004</v>
      </c>
      <c r="H83" s="106">
        <v>581083.1</v>
      </c>
      <c r="I83" s="106">
        <v>595852.30000000005</v>
      </c>
      <c r="J83" s="106">
        <v>607772.69999999995</v>
      </c>
      <c r="K83" s="106">
        <v>632313.5</v>
      </c>
      <c r="L83" s="106">
        <v>602248.30000000005</v>
      </c>
      <c r="M83" s="106">
        <v>611680.5</v>
      </c>
      <c r="N83" s="106">
        <v>614306.1</v>
      </c>
      <c r="O83" s="106">
        <v>607328.4</v>
      </c>
      <c r="P83" s="106">
        <v>617557.6</v>
      </c>
      <c r="Q83" s="106">
        <v>627437</v>
      </c>
      <c r="R83" s="105">
        <v>629438.58200000005</v>
      </c>
      <c r="S83" s="105">
        <v>631245.03099999996</v>
      </c>
      <c r="T83" s="105">
        <v>624388.65899999999</v>
      </c>
      <c r="U83" s="105">
        <v>624062.66200000001</v>
      </c>
      <c r="V83" s="105">
        <v>581498.223</v>
      </c>
      <c r="W83" s="105">
        <v>576940.86600000004</v>
      </c>
      <c r="X83" s="105">
        <v>563247.45299999998</v>
      </c>
      <c r="Y83" s="105">
        <v>562840.26800000004</v>
      </c>
      <c r="Z83" s="105">
        <v>539400.18900000001</v>
      </c>
      <c r="AA83" s="105">
        <v>542509.02500000002</v>
      </c>
      <c r="AB83" s="105">
        <v>570526.23699999996</v>
      </c>
      <c r="AC83" s="105">
        <v>569923.13899999997</v>
      </c>
      <c r="AD83" s="105">
        <v>581643.04099999997</v>
      </c>
      <c r="AE83" s="105">
        <v>573793.16899999999</v>
      </c>
      <c r="AF83" s="105">
        <v>563102.80299999996</v>
      </c>
      <c r="AG83" s="105">
        <v>496266.342</v>
      </c>
      <c r="AH83" s="105">
        <v>511992.152</v>
      </c>
      <c r="AI83" s="105">
        <v>534944.31200000003</v>
      </c>
      <c r="AJ83" s="105">
        <v>527970.13699999999</v>
      </c>
      <c r="AK83" s="105">
        <v>525197.103</v>
      </c>
    </row>
    <row r="84" spans="1:37" x14ac:dyDescent="0.25">
      <c r="A84" s="89" t="s">
        <v>93</v>
      </c>
      <c r="B84" s="89" t="s">
        <v>101</v>
      </c>
      <c r="C84" s="109" t="s">
        <v>255</v>
      </c>
      <c r="D84" s="109" t="s">
        <v>255</v>
      </c>
      <c r="E84" s="109" t="s">
        <v>255</v>
      </c>
      <c r="F84" s="109" t="s">
        <v>255</v>
      </c>
      <c r="G84" s="109" t="s">
        <v>255</v>
      </c>
      <c r="H84" s="109" t="s">
        <v>255</v>
      </c>
      <c r="I84" s="109" t="s">
        <v>255</v>
      </c>
      <c r="J84" s="109" t="s">
        <v>255</v>
      </c>
      <c r="K84" s="109" t="s">
        <v>255</v>
      </c>
      <c r="L84" s="109" t="s">
        <v>255</v>
      </c>
      <c r="M84" s="109" t="s">
        <v>255</v>
      </c>
      <c r="N84" s="109" t="s">
        <v>255</v>
      </c>
      <c r="O84" s="109" t="s">
        <v>255</v>
      </c>
      <c r="P84" s="109" t="s">
        <v>255</v>
      </c>
      <c r="Q84" s="109" t="s">
        <v>255</v>
      </c>
      <c r="R84" s="109" t="s">
        <v>255</v>
      </c>
      <c r="S84" s="109" t="s">
        <v>255</v>
      </c>
      <c r="T84" s="109" t="s">
        <v>255</v>
      </c>
      <c r="U84" s="109" t="s">
        <v>255</v>
      </c>
      <c r="V84" s="109" t="s">
        <v>255</v>
      </c>
      <c r="W84" s="109" t="s">
        <v>255</v>
      </c>
      <c r="X84" s="109" t="s">
        <v>255</v>
      </c>
      <c r="Y84" s="109" t="s">
        <v>255</v>
      </c>
      <c r="Z84" s="109" t="s">
        <v>255</v>
      </c>
      <c r="AA84" s="109" t="s">
        <v>255</v>
      </c>
      <c r="AB84" s="109" t="s">
        <v>255</v>
      </c>
      <c r="AC84" s="109" t="s">
        <v>255</v>
      </c>
      <c r="AD84" s="109" t="s">
        <v>255</v>
      </c>
      <c r="AE84" s="109" t="s">
        <v>255</v>
      </c>
      <c r="AF84" s="109" t="s">
        <v>255</v>
      </c>
      <c r="AG84" s="109" t="s">
        <v>255</v>
      </c>
      <c r="AH84" s="109" t="s">
        <v>255</v>
      </c>
      <c r="AI84" s="109" t="s">
        <v>255</v>
      </c>
      <c r="AJ84" s="109" t="s">
        <v>255</v>
      </c>
      <c r="AK84" s="109" t="s">
        <v>255</v>
      </c>
    </row>
    <row r="85" spans="1:37" x14ac:dyDescent="0.25">
      <c r="A85" s="89" t="s">
        <v>93</v>
      </c>
      <c r="B85" s="89" t="s">
        <v>108</v>
      </c>
      <c r="C85" s="106">
        <v>29206</v>
      </c>
      <c r="D85" s="106">
        <v>28538</v>
      </c>
      <c r="E85" s="106">
        <v>28735.14</v>
      </c>
      <c r="F85" s="105">
        <v>29733.173999999999</v>
      </c>
      <c r="G85" s="106">
        <v>31101</v>
      </c>
      <c r="H85" s="106">
        <v>31612</v>
      </c>
      <c r="I85" s="106">
        <v>32661.200000000001</v>
      </c>
      <c r="J85" s="106">
        <v>32323.3</v>
      </c>
      <c r="K85" s="106">
        <v>33308.400000000001</v>
      </c>
      <c r="L85" s="106">
        <v>32119.200000000001</v>
      </c>
      <c r="M85" s="106">
        <v>32379</v>
      </c>
      <c r="N85" s="106">
        <v>32749</v>
      </c>
      <c r="O85" s="106">
        <v>32208.7</v>
      </c>
      <c r="P85" s="106">
        <v>33072</v>
      </c>
      <c r="Q85" s="106">
        <v>33992.800000000003</v>
      </c>
      <c r="R85" s="105">
        <v>34509.036</v>
      </c>
      <c r="S85" s="105">
        <v>34002.606</v>
      </c>
      <c r="T85" s="105">
        <v>34130.644999999997</v>
      </c>
      <c r="U85" s="105">
        <v>33846.286999999997</v>
      </c>
      <c r="V85" s="105">
        <v>32152.909</v>
      </c>
      <c r="W85" s="105">
        <v>31231.059000000001</v>
      </c>
      <c r="X85" s="105">
        <v>29454.758000000002</v>
      </c>
      <c r="Y85" s="105">
        <v>28109.510999999999</v>
      </c>
      <c r="Z85" s="105">
        <v>26265.773000000001</v>
      </c>
      <c r="AA85" s="106">
        <v>25513.81</v>
      </c>
      <c r="AB85" s="105">
        <v>27358.579000000002</v>
      </c>
      <c r="AC85" s="105">
        <v>26917.415000000001</v>
      </c>
      <c r="AD85" s="105">
        <v>26638.555</v>
      </c>
      <c r="AE85" s="105">
        <v>25049.949000000001</v>
      </c>
      <c r="AF85" s="105">
        <v>24504.812999999998</v>
      </c>
      <c r="AG85" s="105">
        <v>22401.628000000001</v>
      </c>
      <c r="AH85" s="105">
        <v>23694.744999999999</v>
      </c>
      <c r="AI85" s="105">
        <v>26666.002</v>
      </c>
      <c r="AJ85" s="105">
        <v>25748.598999999998</v>
      </c>
      <c r="AK85" s="105">
        <v>25977.274000000001</v>
      </c>
    </row>
    <row r="86" spans="1:37" x14ac:dyDescent="0.25">
      <c r="A86" s="89" t="s">
        <v>93</v>
      </c>
      <c r="B86" s="89" t="s">
        <v>102</v>
      </c>
      <c r="C86" s="107">
        <v>-14521</v>
      </c>
      <c r="D86" s="107">
        <v>-13700</v>
      </c>
      <c r="E86" s="107">
        <v>-13642</v>
      </c>
      <c r="F86" s="107">
        <v>-13757</v>
      </c>
      <c r="G86" s="107">
        <v>-14729</v>
      </c>
      <c r="H86" s="107">
        <v>-13765</v>
      </c>
      <c r="I86" s="107">
        <v>-13916</v>
      </c>
      <c r="J86" s="107">
        <v>-14903</v>
      </c>
      <c r="K86" s="107">
        <v>-14876</v>
      </c>
      <c r="L86" s="107">
        <v>-13152</v>
      </c>
      <c r="M86" s="107">
        <v>-14892</v>
      </c>
      <c r="N86" s="107">
        <v>-14379</v>
      </c>
      <c r="O86" s="107">
        <v>-14563</v>
      </c>
      <c r="P86" s="107">
        <v>-15093</v>
      </c>
      <c r="Q86" s="108">
        <v>-15174.463</v>
      </c>
      <c r="R86" s="108">
        <v>-15339.671</v>
      </c>
      <c r="S86" s="108">
        <v>-15225.416999999999</v>
      </c>
      <c r="T86" s="108">
        <v>-15430.627</v>
      </c>
      <c r="U86" s="108">
        <v>-13749.647000000001</v>
      </c>
      <c r="V86" s="108">
        <v>-14590.856</v>
      </c>
      <c r="W86" s="108">
        <v>-15772.164000000001</v>
      </c>
      <c r="X86" s="108">
        <v>-15718.513000000001</v>
      </c>
      <c r="Y86" s="108">
        <v>-15183.873</v>
      </c>
      <c r="Z86" s="108">
        <v>-13884.484</v>
      </c>
      <c r="AA86" s="107">
        <v>-15170.97</v>
      </c>
      <c r="AB86" s="108">
        <v>-16010.308999999999</v>
      </c>
      <c r="AC86" s="108">
        <v>-15265.981</v>
      </c>
      <c r="AD86" s="107">
        <v>-15899.17</v>
      </c>
      <c r="AE86" s="108">
        <v>-14434.891</v>
      </c>
      <c r="AF86" s="108">
        <v>-14873.117</v>
      </c>
      <c r="AG86" s="108">
        <v>-14846.661</v>
      </c>
      <c r="AH86" s="108">
        <v>-14846.572</v>
      </c>
      <c r="AI86" s="108">
        <v>-15842.433999999999</v>
      </c>
      <c r="AJ86" s="108">
        <v>-14375.201999999999</v>
      </c>
      <c r="AK86" s="109" t="s">
        <v>255</v>
      </c>
    </row>
    <row r="87" spans="1:37" x14ac:dyDescent="0.25">
      <c r="A87" s="89" t="s">
        <v>93</v>
      </c>
      <c r="B87" s="89" t="s">
        <v>103</v>
      </c>
      <c r="C87" s="106">
        <v>3417.9</v>
      </c>
      <c r="D87" s="105">
        <v>3744.0160000000001</v>
      </c>
      <c r="E87" s="105">
        <v>3486.0909999999999</v>
      </c>
      <c r="F87" s="106">
        <v>3535</v>
      </c>
      <c r="G87" s="106">
        <v>3625.7</v>
      </c>
      <c r="H87" s="106">
        <v>4426</v>
      </c>
      <c r="I87" s="106">
        <v>5532</v>
      </c>
      <c r="J87" s="106">
        <v>6050</v>
      </c>
      <c r="K87" s="106">
        <v>5498</v>
      </c>
      <c r="L87" s="106">
        <v>5773</v>
      </c>
      <c r="M87" s="106">
        <v>6350</v>
      </c>
      <c r="N87" s="106">
        <v>6644</v>
      </c>
      <c r="O87" s="106">
        <v>7399</v>
      </c>
      <c r="P87" s="106">
        <v>7713</v>
      </c>
      <c r="Q87" s="105">
        <v>8744.4629999999997</v>
      </c>
      <c r="R87" s="105">
        <v>9020.8289999999997</v>
      </c>
      <c r="S87" s="105">
        <v>9848.4529999999995</v>
      </c>
      <c r="T87" s="105">
        <v>12372.822</v>
      </c>
      <c r="U87" s="105">
        <v>15144.101000000001</v>
      </c>
      <c r="V87" s="106">
        <v>19966.32</v>
      </c>
      <c r="W87" s="105">
        <v>22739.455000000002</v>
      </c>
      <c r="X87" s="105">
        <v>22400.241999999998</v>
      </c>
      <c r="Y87" s="105">
        <v>24445.620999999999</v>
      </c>
      <c r="Z87" s="105">
        <v>22615.646000000001</v>
      </c>
      <c r="AA87" s="105">
        <v>23817.565999999999</v>
      </c>
      <c r="AB87" s="105">
        <v>24331.179</v>
      </c>
      <c r="AC87" s="105">
        <v>24064.717000000001</v>
      </c>
      <c r="AD87" s="105">
        <v>25091.253000000001</v>
      </c>
      <c r="AE87" s="105">
        <v>26305.719000000001</v>
      </c>
      <c r="AF87" s="105">
        <v>26903.861000000001</v>
      </c>
      <c r="AG87" s="105">
        <v>27610.794000000002</v>
      </c>
      <c r="AH87" s="105">
        <v>28494.155999999999</v>
      </c>
      <c r="AI87" s="105">
        <v>28755.125</v>
      </c>
      <c r="AJ87" s="105">
        <v>28104.972000000002</v>
      </c>
      <c r="AK87" s="105">
        <v>26933.296999999999</v>
      </c>
    </row>
    <row r="88" spans="1:37" x14ac:dyDescent="0.25">
      <c r="A88" s="89" t="s">
        <v>93</v>
      </c>
      <c r="B88" s="89" t="s">
        <v>104</v>
      </c>
      <c r="C88" s="107">
        <v>1020.6</v>
      </c>
      <c r="D88" s="107">
        <v>1014.1</v>
      </c>
      <c r="E88" s="107">
        <v>1097.5</v>
      </c>
      <c r="F88" s="107">
        <v>939.6</v>
      </c>
      <c r="G88" s="107">
        <v>1034.3</v>
      </c>
      <c r="H88" s="107">
        <v>840.3</v>
      </c>
      <c r="I88" s="107">
        <v>756.3</v>
      </c>
      <c r="J88" s="107">
        <v>729.4</v>
      </c>
      <c r="K88" s="107">
        <v>468.2</v>
      </c>
      <c r="L88" s="107">
        <v>516.4</v>
      </c>
      <c r="M88" s="107">
        <v>400.4</v>
      </c>
      <c r="N88" s="107">
        <v>395.3</v>
      </c>
      <c r="O88" s="107">
        <v>606</v>
      </c>
      <c r="P88" s="107">
        <v>620.5</v>
      </c>
      <c r="Q88" s="107">
        <v>691.8</v>
      </c>
      <c r="R88" s="107">
        <v>612.1</v>
      </c>
      <c r="S88" s="107">
        <v>473.6</v>
      </c>
      <c r="T88" s="107">
        <v>438.7</v>
      </c>
      <c r="U88" s="107">
        <v>511.2</v>
      </c>
      <c r="V88" s="107">
        <v>487.3</v>
      </c>
      <c r="W88" s="107">
        <v>541.9</v>
      </c>
      <c r="X88" s="107">
        <v>442.3</v>
      </c>
      <c r="Y88" s="107">
        <v>263</v>
      </c>
      <c r="Z88" s="107">
        <v>768</v>
      </c>
      <c r="AA88" s="107">
        <v>1202</v>
      </c>
      <c r="AB88" s="108">
        <v>1052.9390000000001</v>
      </c>
      <c r="AC88" s="108">
        <v>855.93299999999999</v>
      </c>
      <c r="AD88" s="107">
        <v>1555.19</v>
      </c>
      <c r="AE88" s="108">
        <v>1660.1030000000001</v>
      </c>
      <c r="AF88" s="108">
        <v>1781.8910000000001</v>
      </c>
      <c r="AG88" s="108">
        <v>1703.002</v>
      </c>
      <c r="AH88" s="108">
        <v>2795.6550000000002</v>
      </c>
      <c r="AI88" s="108">
        <v>2333.2379999999998</v>
      </c>
      <c r="AJ88" s="108">
        <v>2606.1729999999998</v>
      </c>
      <c r="AK88" s="108">
        <v>2793.7289999999998</v>
      </c>
    </row>
    <row r="89" spans="1:37" x14ac:dyDescent="0.25">
      <c r="A89" s="89" t="s">
        <v>93</v>
      </c>
      <c r="B89" s="89" t="s">
        <v>105</v>
      </c>
      <c r="C89" s="106">
        <v>-16023</v>
      </c>
      <c r="D89" s="106">
        <v>-15055</v>
      </c>
      <c r="E89" s="106">
        <v>-15450</v>
      </c>
      <c r="F89" s="106">
        <v>-18484</v>
      </c>
      <c r="G89" s="106">
        <v>-18584</v>
      </c>
      <c r="H89" s="106">
        <v>-16749</v>
      </c>
      <c r="I89" s="106">
        <v>-18510</v>
      </c>
      <c r="J89" s="106">
        <v>-18469</v>
      </c>
      <c r="K89" s="106">
        <v>-18820</v>
      </c>
      <c r="L89" s="106">
        <v>-20013</v>
      </c>
      <c r="M89" s="106">
        <v>-22199</v>
      </c>
      <c r="N89" s="106">
        <v>-18478</v>
      </c>
      <c r="O89" s="106">
        <v>-24834</v>
      </c>
      <c r="P89" s="106">
        <v>-19399</v>
      </c>
      <c r="Q89" s="106">
        <v>-19042</v>
      </c>
      <c r="R89" s="105">
        <v>-16915.778999999999</v>
      </c>
      <c r="S89" s="105">
        <v>-20418.881000000001</v>
      </c>
      <c r="T89" s="105">
        <v>-22112.321</v>
      </c>
      <c r="U89" s="105">
        <v>-21658.183000000001</v>
      </c>
      <c r="V89" s="105">
        <v>-23778.577000000001</v>
      </c>
      <c r="W89" s="106">
        <v>-24809.78</v>
      </c>
      <c r="X89" s="106">
        <v>-24403.89</v>
      </c>
      <c r="Y89" s="105">
        <v>-23203.206999999999</v>
      </c>
      <c r="Z89" s="105">
        <v>-22653.546999999999</v>
      </c>
      <c r="AA89" s="106">
        <v>-23632.87</v>
      </c>
      <c r="AB89" s="105">
        <v>-20666.474999999999</v>
      </c>
      <c r="AC89" s="105">
        <v>-22770.324000000001</v>
      </c>
      <c r="AD89" s="105">
        <v>-22916.131000000001</v>
      </c>
      <c r="AE89" s="106">
        <v>-25019.8</v>
      </c>
      <c r="AF89" s="105">
        <v>-27907.238000000001</v>
      </c>
      <c r="AG89" s="105">
        <v>-25298.814999999999</v>
      </c>
      <c r="AH89" s="105">
        <v>-30387.105</v>
      </c>
      <c r="AI89" s="105">
        <v>-29369.912</v>
      </c>
      <c r="AJ89" s="105">
        <v>-25568.986000000001</v>
      </c>
      <c r="AK89" s="105">
        <v>23460.507000000001</v>
      </c>
    </row>
    <row r="90" spans="1:37" x14ac:dyDescent="0.25">
      <c r="A90" s="89" t="s">
        <v>93</v>
      </c>
      <c r="B90" s="89" t="s">
        <v>106</v>
      </c>
      <c r="C90" s="109" t="s">
        <v>255</v>
      </c>
      <c r="D90" s="109" t="s">
        <v>255</v>
      </c>
      <c r="E90" s="109" t="s">
        <v>255</v>
      </c>
      <c r="F90" s="109" t="s">
        <v>255</v>
      </c>
      <c r="G90" s="109" t="s">
        <v>255</v>
      </c>
      <c r="H90" s="109" t="s">
        <v>255</v>
      </c>
      <c r="I90" s="109" t="s">
        <v>255</v>
      </c>
      <c r="J90" s="109" t="s">
        <v>255</v>
      </c>
      <c r="K90" s="109" t="s">
        <v>255</v>
      </c>
      <c r="L90" s="109" t="s">
        <v>255</v>
      </c>
      <c r="M90" s="109" t="s">
        <v>255</v>
      </c>
      <c r="N90" s="109" t="s">
        <v>255</v>
      </c>
      <c r="O90" s="109" t="s">
        <v>255</v>
      </c>
      <c r="P90" s="109" t="s">
        <v>255</v>
      </c>
      <c r="Q90" s="109" t="s">
        <v>255</v>
      </c>
      <c r="R90" s="109" t="s">
        <v>255</v>
      </c>
      <c r="S90" s="109" t="s">
        <v>255</v>
      </c>
      <c r="T90" s="109" t="s">
        <v>255</v>
      </c>
      <c r="U90" s="109" t="s">
        <v>255</v>
      </c>
      <c r="V90" s="109" t="s">
        <v>255</v>
      </c>
      <c r="W90" s="109" t="s">
        <v>255</v>
      </c>
      <c r="X90" s="109" t="s">
        <v>255</v>
      </c>
      <c r="Y90" s="109" t="s">
        <v>255</v>
      </c>
      <c r="Z90" s="109" t="s">
        <v>255</v>
      </c>
      <c r="AA90" s="109" t="s">
        <v>255</v>
      </c>
      <c r="AB90" s="109" t="s">
        <v>255</v>
      </c>
      <c r="AC90" s="109" t="s">
        <v>255</v>
      </c>
      <c r="AD90" s="109" t="s">
        <v>255</v>
      </c>
      <c r="AE90" s="109" t="s">
        <v>255</v>
      </c>
      <c r="AF90" s="109" t="s">
        <v>255</v>
      </c>
      <c r="AG90" s="109" t="s">
        <v>255</v>
      </c>
      <c r="AH90" s="109" t="s">
        <v>255</v>
      </c>
      <c r="AI90" s="109" t="s">
        <v>255</v>
      </c>
      <c r="AJ90" s="109" t="s">
        <v>255</v>
      </c>
      <c r="AK90" s="109" t="s">
        <v>255</v>
      </c>
    </row>
    <row r="91" spans="1:37" ht="11.5" customHeight="1" x14ac:dyDescent="0.3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7" ht="14.5" x14ac:dyDescent="0.35">
      <c r="A92" s="85" t="s">
        <v>69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:37" ht="13" x14ac:dyDescent="0.25">
      <c r="A93" s="3" t="s">
        <v>255</v>
      </c>
      <c r="B93" s="2" t="s">
        <v>70</v>
      </c>
    </row>
    <row r="96" spans="1:37" ht="14.5" x14ac:dyDescent="0.35">
      <c r="A96" s="96" t="s">
        <v>278</v>
      </c>
    </row>
    <row r="97" spans="1:37" x14ac:dyDescent="0.25">
      <c r="A97" s="16" t="s">
        <v>87</v>
      </c>
    </row>
    <row r="100" spans="1:37" ht="14.5" x14ac:dyDescent="0.35">
      <c r="A100" s="84" t="s">
        <v>312</v>
      </c>
      <c r="B100"/>
    </row>
    <row r="101" spans="1:37" x14ac:dyDescent="0.25">
      <c r="A101" s="84" t="s">
        <v>1</v>
      </c>
      <c r="B101" s="85" t="s">
        <v>277</v>
      </c>
    </row>
    <row r="102" spans="1:37" x14ac:dyDescent="0.25">
      <c r="A102" s="84" t="s">
        <v>2</v>
      </c>
      <c r="B102" s="113">
        <v>45833.958333333336</v>
      </c>
    </row>
    <row r="104" spans="1:37" ht="13" x14ac:dyDescent="0.25">
      <c r="A104" s="3" t="s">
        <v>3</v>
      </c>
      <c r="C104" s="2" t="s">
        <v>4</v>
      </c>
    </row>
    <row r="105" spans="1:37" ht="13" x14ac:dyDescent="0.25">
      <c r="A105" s="3" t="s">
        <v>115</v>
      </c>
      <c r="C105" s="2" t="s">
        <v>100</v>
      </c>
    </row>
    <row r="106" spans="1:37" ht="13" x14ac:dyDescent="0.25">
      <c r="A106" s="3" t="s">
        <v>5</v>
      </c>
      <c r="C106" s="2" t="s">
        <v>6</v>
      </c>
    </row>
    <row r="107" spans="1:37" ht="13" x14ac:dyDescent="0.25">
      <c r="A107" s="3" t="s">
        <v>7</v>
      </c>
      <c r="C107" s="2" t="s">
        <v>8</v>
      </c>
    </row>
    <row r="109" spans="1:37" x14ac:dyDescent="0.25">
      <c r="A109" s="115" t="s">
        <v>9</v>
      </c>
      <c r="B109" s="115" t="s">
        <v>9</v>
      </c>
      <c r="C109" s="86" t="s">
        <v>10</v>
      </c>
      <c r="D109" s="86" t="s">
        <v>11</v>
      </c>
      <c r="E109" s="86" t="s">
        <v>12</v>
      </c>
      <c r="F109" s="86" t="s">
        <v>13</v>
      </c>
      <c r="G109" s="86" t="s">
        <v>14</v>
      </c>
      <c r="H109" s="86" t="s">
        <v>15</v>
      </c>
      <c r="I109" s="86" t="s">
        <v>16</v>
      </c>
      <c r="J109" s="86" t="s">
        <v>17</v>
      </c>
      <c r="K109" s="86" t="s">
        <v>18</v>
      </c>
      <c r="L109" s="86" t="s">
        <v>19</v>
      </c>
      <c r="M109" s="86" t="s">
        <v>20</v>
      </c>
      <c r="N109" s="86" t="s">
        <v>21</v>
      </c>
      <c r="O109" s="86" t="s">
        <v>22</v>
      </c>
      <c r="P109" s="86" t="s">
        <v>23</v>
      </c>
      <c r="Q109" s="86" t="s">
        <v>24</v>
      </c>
      <c r="R109" s="86" t="s">
        <v>25</v>
      </c>
      <c r="S109" s="86" t="s">
        <v>26</v>
      </c>
      <c r="T109" s="86" t="s">
        <v>27</v>
      </c>
      <c r="U109" s="86" t="s">
        <v>28</v>
      </c>
      <c r="V109" s="86" t="s">
        <v>29</v>
      </c>
      <c r="W109" s="86" t="s">
        <v>30</v>
      </c>
      <c r="X109" s="86" t="s">
        <v>31</v>
      </c>
      <c r="Y109" s="86" t="s">
        <v>32</v>
      </c>
      <c r="Z109" s="86" t="s">
        <v>33</v>
      </c>
      <c r="AA109" s="86" t="s">
        <v>34</v>
      </c>
      <c r="AB109" s="86" t="s">
        <v>35</v>
      </c>
      <c r="AC109" s="86" t="s">
        <v>36</v>
      </c>
      <c r="AD109" s="86" t="s">
        <v>37</v>
      </c>
      <c r="AE109" s="86" t="s">
        <v>38</v>
      </c>
      <c r="AF109" s="86" t="s">
        <v>39</v>
      </c>
      <c r="AG109" s="86" t="s">
        <v>40</v>
      </c>
      <c r="AH109" s="86" t="s">
        <v>41</v>
      </c>
      <c r="AI109" s="86" t="s">
        <v>42</v>
      </c>
      <c r="AJ109" s="86" t="s">
        <v>254</v>
      </c>
      <c r="AK109" s="86" t="s">
        <v>285</v>
      </c>
    </row>
    <row r="110" spans="1:37" ht="14.5" x14ac:dyDescent="0.35">
      <c r="A110" s="87" t="s">
        <v>43</v>
      </c>
      <c r="B110" s="87" t="s">
        <v>44</v>
      </c>
      <c r="C110" s="88" t="s">
        <v>45</v>
      </c>
      <c r="D110" s="88" t="s">
        <v>45</v>
      </c>
      <c r="E110" s="88" t="s">
        <v>45</v>
      </c>
      <c r="F110" s="88" t="s">
        <v>45</v>
      </c>
      <c r="G110" s="88" t="s">
        <v>45</v>
      </c>
      <c r="H110" s="88" t="s">
        <v>45</v>
      </c>
      <c r="I110" s="88" t="s">
        <v>45</v>
      </c>
      <c r="J110" s="88" t="s">
        <v>45</v>
      </c>
      <c r="K110" s="88" t="s">
        <v>45</v>
      </c>
      <c r="L110" s="88" t="s">
        <v>45</v>
      </c>
      <c r="M110" s="88" t="s">
        <v>45</v>
      </c>
      <c r="N110" s="88" t="s">
        <v>45</v>
      </c>
      <c r="O110" s="88" t="s">
        <v>45</v>
      </c>
      <c r="P110" s="88" t="s">
        <v>45</v>
      </c>
      <c r="Q110" s="88" t="s">
        <v>45</v>
      </c>
      <c r="R110" s="88" t="s">
        <v>45</v>
      </c>
      <c r="S110" s="88" t="s">
        <v>45</v>
      </c>
      <c r="T110" s="88" t="s">
        <v>45</v>
      </c>
      <c r="U110" s="88" t="s">
        <v>45</v>
      </c>
      <c r="V110" s="88" t="s">
        <v>45</v>
      </c>
      <c r="W110" s="88" t="s">
        <v>45</v>
      </c>
      <c r="X110" s="88" t="s">
        <v>45</v>
      </c>
      <c r="Y110" s="88" t="s">
        <v>45</v>
      </c>
      <c r="Z110" s="88" t="s">
        <v>45</v>
      </c>
      <c r="AA110" s="88" t="s">
        <v>45</v>
      </c>
      <c r="AB110" s="88" t="s">
        <v>45</v>
      </c>
      <c r="AC110" s="88" t="s">
        <v>45</v>
      </c>
      <c r="AD110" s="88" t="s">
        <v>45</v>
      </c>
      <c r="AE110" s="88" t="s">
        <v>45</v>
      </c>
      <c r="AF110" s="88" t="s">
        <v>45</v>
      </c>
      <c r="AG110" s="88" t="s">
        <v>45</v>
      </c>
      <c r="AH110" s="88" t="s">
        <v>45</v>
      </c>
      <c r="AI110" s="88" t="s">
        <v>45</v>
      </c>
      <c r="AJ110" s="88" t="s">
        <v>45</v>
      </c>
      <c r="AK110" s="88" t="s">
        <v>45</v>
      </c>
    </row>
    <row r="111" spans="1:37" x14ac:dyDescent="0.25">
      <c r="A111" s="89" t="s">
        <v>88</v>
      </c>
      <c r="B111" s="89" t="s">
        <v>100</v>
      </c>
      <c r="C111" s="90">
        <v>564596.19999999995</v>
      </c>
      <c r="D111" s="91">
        <v>558339.48400000005</v>
      </c>
      <c r="E111" s="90">
        <v>562998</v>
      </c>
      <c r="F111" s="90">
        <v>571872.5</v>
      </c>
      <c r="G111" s="91">
        <v>582782.11600000004</v>
      </c>
      <c r="H111" s="90">
        <v>581083.1</v>
      </c>
      <c r="I111" s="90">
        <v>595852.30000000005</v>
      </c>
      <c r="J111" s="90">
        <v>607772.69999999995</v>
      </c>
      <c r="K111" s="90">
        <v>632313.5</v>
      </c>
      <c r="L111" s="90">
        <v>602248.30000000005</v>
      </c>
      <c r="M111" s="90">
        <v>611680.5</v>
      </c>
      <c r="N111" s="90">
        <v>614306.1</v>
      </c>
      <c r="O111" s="90">
        <v>607328.4</v>
      </c>
      <c r="P111" s="90">
        <v>617557.6</v>
      </c>
      <c r="Q111" s="90">
        <v>627437</v>
      </c>
      <c r="R111" s="91">
        <v>629438.58200000005</v>
      </c>
      <c r="S111" s="91">
        <v>631245.03099999996</v>
      </c>
      <c r="T111" s="91">
        <v>624388.65899999999</v>
      </c>
      <c r="U111" s="91">
        <v>624062.66200000001</v>
      </c>
      <c r="V111" s="91">
        <v>581498.223</v>
      </c>
      <c r="W111" s="91">
        <v>576940.86600000004</v>
      </c>
      <c r="X111" s="91">
        <v>563247.45299999998</v>
      </c>
      <c r="Y111" s="91">
        <v>562840.26800000004</v>
      </c>
      <c r="Z111" s="91">
        <v>539400.18900000001</v>
      </c>
      <c r="AA111" s="91">
        <v>542509.02500000002</v>
      </c>
      <c r="AB111" s="91">
        <v>570526.23699999996</v>
      </c>
      <c r="AC111" s="91">
        <v>569923.13899999997</v>
      </c>
      <c r="AD111" s="91">
        <v>581643.04099999997</v>
      </c>
      <c r="AE111" s="91">
        <v>573793.16899999999</v>
      </c>
      <c r="AF111" s="90">
        <v>563102.80299999996</v>
      </c>
      <c r="AG111" s="91">
        <v>496266.342</v>
      </c>
      <c r="AH111" s="90">
        <v>511992.152</v>
      </c>
      <c r="AI111" s="91">
        <v>534944.31200000003</v>
      </c>
      <c r="AJ111" s="90">
        <v>527970.13699999999</v>
      </c>
      <c r="AK111" s="16">
        <v>525197.103</v>
      </c>
    </row>
    <row r="112" spans="1:37" x14ac:dyDescent="0.25">
      <c r="A112" s="89" t="s">
        <v>98</v>
      </c>
      <c r="B112" s="89" t="s">
        <v>100</v>
      </c>
      <c r="C112" s="95" t="s">
        <v>255</v>
      </c>
      <c r="D112" s="95" t="s">
        <v>255</v>
      </c>
      <c r="E112" s="95" t="s">
        <v>255</v>
      </c>
      <c r="F112" s="95" t="s">
        <v>255</v>
      </c>
      <c r="G112" s="95" t="s">
        <v>255</v>
      </c>
      <c r="H112" s="95" t="s">
        <v>255</v>
      </c>
      <c r="I112" s="95" t="s">
        <v>255</v>
      </c>
      <c r="J112" s="95" t="s">
        <v>255</v>
      </c>
      <c r="K112" s="95" t="s">
        <v>255</v>
      </c>
      <c r="L112" s="95" t="s">
        <v>255</v>
      </c>
      <c r="M112" s="95" t="s">
        <v>255</v>
      </c>
      <c r="N112" s="95" t="s">
        <v>255</v>
      </c>
      <c r="O112" s="95" t="s">
        <v>255</v>
      </c>
      <c r="P112" s="95" t="s">
        <v>255</v>
      </c>
      <c r="Q112" s="95" t="s">
        <v>255</v>
      </c>
      <c r="R112" s="95" t="s">
        <v>255</v>
      </c>
      <c r="S112" s="95" t="s">
        <v>255</v>
      </c>
      <c r="T112" s="95" t="s">
        <v>255</v>
      </c>
      <c r="U112" s="95" t="s">
        <v>255</v>
      </c>
      <c r="V112" s="95" t="s">
        <v>255</v>
      </c>
      <c r="W112" s="95" t="s">
        <v>255</v>
      </c>
      <c r="X112" s="95" t="s">
        <v>255</v>
      </c>
      <c r="Y112" s="95" t="s">
        <v>255</v>
      </c>
      <c r="Z112" s="95" t="s">
        <v>255</v>
      </c>
      <c r="AA112" s="95" t="s">
        <v>255</v>
      </c>
      <c r="AB112" s="95" t="s">
        <v>255</v>
      </c>
      <c r="AC112" s="95" t="s">
        <v>255</v>
      </c>
      <c r="AD112" s="95" t="s">
        <v>255</v>
      </c>
      <c r="AE112" s="95" t="s">
        <v>255</v>
      </c>
      <c r="AF112" s="95" t="s">
        <v>255</v>
      </c>
      <c r="AG112" s="95" t="s">
        <v>255</v>
      </c>
      <c r="AH112" s="95" t="s">
        <v>255</v>
      </c>
      <c r="AI112" s="95" t="s">
        <v>255</v>
      </c>
      <c r="AJ112" s="95" t="s">
        <v>255</v>
      </c>
      <c r="AK112" s="16" t="s">
        <v>255</v>
      </c>
    </row>
    <row r="113" spans="1:37" x14ac:dyDescent="0.25">
      <c r="A113" s="89" t="s">
        <v>116</v>
      </c>
      <c r="B113" s="89" t="s">
        <v>100</v>
      </c>
      <c r="C113" s="94" t="s">
        <v>255</v>
      </c>
      <c r="D113" s="94" t="s">
        <v>255</v>
      </c>
      <c r="E113" s="94" t="s">
        <v>255</v>
      </c>
      <c r="F113" s="94" t="s">
        <v>255</v>
      </c>
      <c r="G113" s="94" t="s">
        <v>255</v>
      </c>
      <c r="H113" s="94" t="s">
        <v>255</v>
      </c>
      <c r="I113" s="94" t="s">
        <v>255</v>
      </c>
      <c r="J113" s="94" t="s">
        <v>255</v>
      </c>
      <c r="K113" s="94" t="s">
        <v>255</v>
      </c>
      <c r="L113" s="94" t="s">
        <v>255</v>
      </c>
      <c r="M113" s="94" t="s">
        <v>255</v>
      </c>
      <c r="N113" s="94" t="s">
        <v>255</v>
      </c>
      <c r="O113" s="94" t="s">
        <v>255</v>
      </c>
      <c r="P113" s="94" t="s">
        <v>255</v>
      </c>
      <c r="Q113" s="94" t="s">
        <v>255</v>
      </c>
      <c r="R113" s="94" t="s">
        <v>255</v>
      </c>
      <c r="S113" s="94" t="s">
        <v>255</v>
      </c>
      <c r="T113" s="94" t="s">
        <v>255</v>
      </c>
      <c r="U113" s="94" t="s">
        <v>255</v>
      </c>
      <c r="V113" s="94" t="s">
        <v>255</v>
      </c>
      <c r="W113" s="94" t="s">
        <v>255</v>
      </c>
      <c r="X113" s="94" t="s">
        <v>255</v>
      </c>
      <c r="Y113" s="94" t="s">
        <v>255</v>
      </c>
      <c r="Z113" s="94" t="s">
        <v>255</v>
      </c>
      <c r="AA113" s="94" t="s">
        <v>255</v>
      </c>
      <c r="AB113" s="94" t="s">
        <v>255</v>
      </c>
      <c r="AC113" s="94" t="s">
        <v>255</v>
      </c>
      <c r="AD113" s="94" t="s">
        <v>255</v>
      </c>
      <c r="AE113" s="94" t="s">
        <v>255</v>
      </c>
      <c r="AF113" s="94" t="s">
        <v>255</v>
      </c>
      <c r="AG113" s="94" t="s">
        <v>255</v>
      </c>
      <c r="AH113" s="94" t="s">
        <v>255</v>
      </c>
      <c r="AI113" s="94" t="s">
        <v>255</v>
      </c>
      <c r="AJ113" s="94" t="s">
        <v>255</v>
      </c>
      <c r="AK113" s="16" t="s">
        <v>255</v>
      </c>
    </row>
    <row r="114" spans="1:37" x14ac:dyDescent="0.25">
      <c r="A114" s="89" t="s">
        <v>117</v>
      </c>
      <c r="B114" s="89" t="s">
        <v>100</v>
      </c>
      <c r="C114" s="95" t="s">
        <v>255</v>
      </c>
      <c r="D114" s="95" t="s">
        <v>255</v>
      </c>
      <c r="E114" s="95" t="s">
        <v>255</v>
      </c>
      <c r="F114" s="95" t="s">
        <v>255</v>
      </c>
      <c r="G114" s="95" t="s">
        <v>255</v>
      </c>
      <c r="H114" s="95" t="s">
        <v>255</v>
      </c>
      <c r="I114" s="95" t="s">
        <v>255</v>
      </c>
      <c r="J114" s="95" t="s">
        <v>255</v>
      </c>
      <c r="K114" s="95" t="s">
        <v>255</v>
      </c>
      <c r="L114" s="95" t="s">
        <v>255</v>
      </c>
      <c r="M114" s="95" t="s">
        <v>255</v>
      </c>
      <c r="N114" s="95" t="s">
        <v>255</v>
      </c>
      <c r="O114" s="95" t="s">
        <v>255</v>
      </c>
      <c r="P114" s="95" t="s">
        <v>255</v>
      </c>
      <c r="Q114" s="95" t="s">
        <v>255</v>
      </c>
      <c r="R114" s="95" t="s">
        <v>255</v>
      </c>
      <c r="S114" s="95" t="s">
        <v>255</v>
      </c>
      <c r="T114" s="95" t="s">
        <v>255</v>
      </c>
      <c r="U114" s="95" t="s">
        <v>255</v>
      </c>
      <c r="V114" s="95" t="s">
        <v>255</v>
      </c>
      <c r="W114" s="95" t="s">
        <v>255</v>
      </c>
      <c r="X114" s="95" t="s">
        <v>255</v>
      </c>
      <c r="Y114" s="95" t="s">
        <v>255</v>
      </c>
      <c r="Z114" s="95" t="s">
        <v>255</v>
      </c>
      <c r="AA114" s="95" t="s">
        <v>255</v>
      </c>
      <c r="AB114" s="95" t="s">
        <v>255</v>
      </c>
      <c r="AC114" s="95" t="s">
        <v>255</v>
      </c>
      <c r="AD114" s="95" t="s">
        <v>255</v>
      </c>
      <c r="AE114" s="95" t="s">
        <v>255</v>
      </c>
      <c r="AF114" s="95" t="s">
        <v>255</v>
      </c>
      <c r="AG114" s="95" t="s">
        <v>255</v>
      </c>
      <c r="AH114" s="95" t="s">
        <v>255</v>
      </c>
      <c r="AI114" s="95" t="s">
        <v>255</v>
      </c>
      <c r="AJ114" s="95" t="s">
        <v>255</v>
      </c>
      <c r="AK114" s="16" t="s">
        <v>255</v>
      </c>
    </row>
    <row r="115" spans="1:37" x14ac:dyDescent="0.25">
      <c r="A115" s="89" t="s">
        <v>118</v>
      </c>
      <c r="B115" s="89" t="s">
        <v>100</v>
      </c>
      <c r="C115" s="94" t="s">
        <v>255</v>
      </c>
      <c r="D115" s="94" t="s">
        <v>255</v>
      </c>
      <c r="E115" s="94" t="s">
        <v>255</v>
      </c>
      <c r="F115" s="94" t="s">
        <v>255</v>
      </c>
      <c r="G115" s="94" t="s">
        <v>255</v>
      </c>
      <c r="H115" s="94" t="s">
        <v>255</v>
      </c>
      <c r="I115" s="94" t="s">
        <v>255</v>
      </c>
      <c r="J115" s="94" t="s">
        <v>255</v>
      </c>
      <c r="K115" s="94" t="s">
        <v>255</v>
      </c>
      <c r="L115" s="94" t="s">
        <v>255</v>
      </c>
      <c r="M115" s="94" t="s">
        <v>255</v>
      </c>
      <c r="N115" s="94" t="s">
        <v>255</v>
      </c>
      <c r="O115" s="94" t="s">
        <v>255</v>
      </c>
      <c r="P115" s="94" t="s">
        <v>255</v>
      </c>
      <c r="Q115" s="94" t="s">
        <v>255</v>
      </c>
      <c r="R115" s="94" t="s">
        <v>255</v>
      </c>
      <c r="S115" s="94" t="s">
        <v>255</v>
      </c>
      <c r="T115" s="94" t="s">
        <v>255</v>
      </c>
      <c r="U115" s="94" t="s">
        <v>255</v>
      </c>
      <c r="V115" s="94" t="s">
        <v>255</v>
      </c>
      <c r="W115" s="94" t="s">
        <v>255</v>
      </c>
      <c r="X115" s="94" t="s">
        <v>255</v>
      </c>
      <c r="Y115" s="94" t="s">
        <v>255</v>
      </c>
      <c r="Z115" s="94" t="s">
        <v>255</v>
      </c>
      <c r="AA115" s="94" t="s">
        <v>255</v>
      </c>
      <c r="AB115" s="94" t="s">
        <v>255</v>
      </c>
      <c r="AC115" s="94" t="s">
        <v>255</v>
      </c>
      <c r="AD115" s="94" t="s">
        <v>255</v>
      </c>
      <c r="AE115" s="94" t="s">
        <v>255</v>
      </c>
      <c r="AF115" s="94" t="s">
        <v>255</v>
      </c>
      <c r="AG115" s="94" t="s">
        <v>255</v>
      </c>
      <c r="AH115" s="94" t="s">
        <v>255</v>
      </c>
      <c r="AI115" s="94" t="s">
        <v>255</v>
      </c>
      <c r="AJ115" s="94" t="s">
        <v>255</v>
      </c>
      <c r="AK115" s="16" t="s">
        <v>255</v>
      </c>
    </row>
    <row r="116" spans="1:37" x14ac:dyDescent="0.25">
      <c r="A116" s="89" t="s">
        <v>119</v>
      </c>
      <c r="B116" s="89" t="s">
        <v>100</v>
      </c>
      <c r="C116" s="95" t="s">
        <v>255</v>
      </c>
      <c r="D116" s="95" t="s">
        <v>255</v>
      </c>
      <c r="E116" s="95" t="s">
        <v>255</v>
      </c>
      <c r="F116" s="95" t="s">
        <v>255</v>
      </c>
      <c r="G116" s="95" t="s">
        <v>255</v>
      </c>
      <c r="H116" s="95" t="s">
        <v>255</v>
      </c>
      <c r="I116" s="95" t="s">
        <v>255</v>
      </c>
      <c r="J116" s="95" t="s">
        <v>255</v>
      </c>
      <c r="K116" s="95" t="s">
        <v>255</v>
      </c>
      <c r="L116" s="95" t="s">
        <v>255</v>
      </c>
      <c r="M116" s="95" t="s">
        <v>255</v>
      </c>
      <c r="N116" s="95" t="s">
        <v>255</v>
      </c>
      <c r="O116" s="95" t="s">
        <v>255</v>
      </c>
      <c r="P116" s="95" t="s">
        <v>255</v>
      </c>
      <c r="Q116" s="95" t="s">
        <v>255</v>
      </c>
      <c r="R116" s="95" t="s">
        <v>255</v>
      </c>
      <c r="S116" s="95" t="s">
        <v>255</v>
      </c>
      <c r="T116" s="95" t="s">
        <v>255</v>
      </c>
      <c r="U116" s="95" t="s">
        <v>255</v>
      </c>
      <c r="V116" s="95" t="s">
        <v>255</v>
      </c>
      <c r="W116" s="95" t="s">
        <v>255</v>
      </c>
      <c r="X116" s="95" t="s">
        <v>255</v>
      </c>
      <c r="Y116" s="95" t="s">
        <v>255</v>
      </c>
      <c r="Z116" s="95" t="s">
        <v>255</v>
      </c>
      <c r="AA116" s="95" t="s">
        <v>255</v>
      </c>
      <c r="AB116" s="95" t="s">
        <v>255</v>
      </c>
      <c r="AC116" s="95" t="s">
        <v>255</v>
      </c>
      <c r="AD116" s="95" t="s">
        <v>255</v>
      </c>
      <c r="AE116" s="95" t="s">
        <v>255</v>
      </c>
      <c r="AF116" s="95" t="s">
        <v>255</v>
      </c>
      <c r="AG116" s="95" t="s">
        <v>255</v>
      </c>
      <c r="AH116" s="95" t="s">
        <v>255</v>
      </c>
      <c r="AI116" s="95" t="s">
        <v>255</v>
      </c>
      <c r="AJ116" s="95" t="s">
        <v>255</v>
      </c>
      <c r="AK116" s="16" t="s">
        <v>255</v>
      </c>
    </row>
    <row r="117" spans="1:37" x14ac:dyDescent="0.25">
      <c r="A117" s="89" t="s">
        <v>120</v>
      </c>
      <c r="B117" s="89" t="s">
        <v>100</v>
      </c>
      <c r="C117" s="94" t="s">
        <v>255</v>
      </c>
      <c r="D117" s="94" t="s">
        <v>255</v>
      </c>
      <c r="E117" s="94" t="s">
        <v>255</v>
      </c>
      <c r="F117" s="94" t="s">
        <v>255</v>
      </c>
      <c r="G117" s="94" t="s">
        <v>255</v>
      </c>
      <c r="H117" s="94" t="s">
        <v>255</v>
      </c>
      <c r="I117" s="94" t="s">
        <v>255</v>
      </c>
      <c r="J117" s="94" t="s">
        <v>255</v>
      </c>
      <c r="K117" s="94" t="s">
        <v>255</v>
      </c>
      <c r="L117" s="94" t="s">
        <v>255</v>
      </c>
      <c r="M117" s="94" t="s">
        <v>255</v>
      </c>
      <c r="N117" s="94" t="s">
        <v>255</v>
      </c>
      <c r="O117" s="94" t="s">
        <v>255</v>
      </c>
      <c r="P117" s="94" t="s">
        <v>255</v>
      </c>
      <c r="Q117" s="94" t="s">
        <v>255</v>
      </c>
      <c r="R117" s="94" t="s">
        <v>255</v>
      </c>
      <c r="S117" s="94" t="s">
        <v>255</v>
      </c>
      <c r="T117" s="94" t="s">
        <v>255</v>
      </c>
      <c r="U117" s="94" t="s">
        <v>255</v>
      </c>
      <c r="V117" s="94" t="s">
        <v>255</v>
      </c>
      <c r="W117" s="94" t="s">
        <v>255</v>
      </c>
      <c r="X117" s="94" t="s">
        <v>255</v>
      </c>
      <c r="Y117" s="94" t="s">
        <v>255</v>
      </c>
      <c r="Z117" s="94" t="s">
        <v>255</v>
      </c>
      <c r="AA117" s="94" t="s">
        <v>255</v>
      </c>
      <c r="AB117" s="94" t="s">
        <v>255</v>
      </c>
      <c r="AC117" s="94" t="s">
        <v>255</v>
      </c>
      <c r="AD117" s="94" t="s">
        <v>255</v>
      </c>
      <c r="AE117" s="94" t="s">
        <v>255</v>
      </c>
      <c r="AF117" s="94" t="s">
        <v>255</v>
      </c>
      <c r="AG117" s="94" t="s">
        <v>255</v>
      </c>
      <c r="AH117" s="94" t="s">
        <v>255</v>
      </c>
      <c r="AI117" s="94" t="s">
        <v>255</v>
      </c>
      <c r="AJ117" s="94" t="s">
        <v>255</v>
      </c>
      <c r="AK117" s="16" t="s">
        <v>255</v>
      </c>
    </row>
    <row r="118" spans="1:37" x14ac:dyDescent="0.25">
      <c r="A118" s="89" t="s">
        <v>121</v>
      </c>
      <c r="B118" s="89" t="s">
        <v>100</v>
      </c>
      <c r="C118" s="95" t="s">
        <v>255</v>
      </c>
      <c r="D118" s="95" t="s">
        <v>255</v>
      </c>
      <c r="E118" s="95" t="s">
        <v>255</v>
      </c>
      <c r="F118" s="95" t="s">
        <v>255</v>
      </c>
      <c r="G118" s="95" t="s">
        <v>255</v>
      </c>
      <c r="H118" s="95" t="s">
        <v>255</v>
      </c>
      <c r="I118" s="95" t="s">
        <v>255</v>
      </c>
      <c r="J118" s="95" t="s">
        <v>255</v>
      </c>
      <c r="K118" s="95" t="s">
        <v>255</v>
      </c>
      <c r="L118" s="95" t="s">
        <v>255</v>
      </c>
      <c r="M118" s="95" t="s">
        <v>255</v>
      </c>
      <c r="N118" s="95" t="s">
        <v>255</v>
      </c>
      <c r="O118" s="95" t="s">
        <v>255</v>
      </c>
      <c r="P118" s="95" t="s">
        <v>255</v>
      </c>
      <c r="Q118" s="95" t="s">
        <v>255</v>
      </c>
      <c r="R118" s="95" t="s">
        <v>255</v>
      </c>
      <c r="S118" s="95" t="s">
        <v>255</v>
      </c>
      <c r="T118" s="95" t="s">
        <v>255</v>
      </c>
      <c r="U118" s="95" t="s">
        <v>255</v>
      </c>
      <c r="V118" s="95" t="s">
        <v>255</v>
      </c>
      <c r="W118" s="95" t="s">
        <v>255</v>
      </c>
      <c r="X118" s="95" t="s">
        <v>255</v>
      </c>
      <c r="Y118" s="95" t="s">
        <v>255</v>
      </c>
      <c r="Z118" s="95" t="s">
        <v>255</v>
      </c>
      <c r="AA118" s="95" t="s">
        <v>255</v>
      </c>
      <c r="AB118" s="95" t="s">
        <v>255</v>
      </c>
      <c r="AC118" s="95" t="s">
        <v>255</v>
      </c>
      <c r="AD118" s="95" t="s">
        <v>255</v>
      </c>
      <c r="AE118" s="95" t="s">
        <v>255</v>
      </c>
      <c r="AF118" s="95" t="s">
        <v>255</v>
      </c>
      <c r="AG118" s="95" t="s">
        <v>255</v>
      </c>
      <c r="AH118" s="95" t="s">
        <v>255</v>
      </c>
      <c r="AI118" s="95" t="s">
        <v>255</v>
      </c>
      <c r="AJ118" s="95" t="s">
        <v>255</v>
      </c>
      <c r="AK118" s="16" t="s">
        <v>255</v>
      </c>
    </row>
    <row r="119" spans="1:37" x14ac:dyDescent="0.25">
      <c r="A119" s="89" t="s">
        <v>122</v>
      </c>
      <c r="B119" s="89" t="s">
        <v>100</v>
      </c>
      <c r="C119" s="94" t="s">
        <v>255</v>
      </c>
      <c r="D119" s="94" t="s">
        <v>255</v>
      </c>
      <c r="E119" s="94" t="s">
        <v>255</v>
      </c>
      <c r="F119" s="94" t="s">
        <v>255</v>
      </c>
      <c r="G119" s="94" t="s">
        <v>255</v>
      </c>
      <c r="H119" s="94" t="s">
        <v>255</v>
      </c>
      <c r="I119" s="94" t="s">
        <v>255</v>
      </c>
      <c r="J119" s="94" t="s">
        <v>255</v>
      </c>
      <c r="K119" s="94" t="s">
        <v>255</v>
      </c>
      <c r="L119" s="94" t="s">
        <v>255</v>
      </c>
      <c r="M119" s="94" t="s">
        <v>255</v>
      </c>
      <c r="N119" s="94" t="s">
        <v>255</v>
      </c>
      <c r="O119" s="94" t="s">
        <v>255</v>
      </c>
      <c r="P119" s="94" t="s">
        <v>255</v>
      </c>
      <c r="Q119" s="94" t="s">
        <v>255</v>
      </c>
      <c r="R119" s="94" t="s">
        <v>255</v>
      </c>
      <c r="S119" s="94" t="s">
        <v>255</v>
      </c>
      <c r="T119" s="94" t="s">
        <v>255</v>
      </c>
      <c r="U119" s="94" t="s">
        <v>255</v>
      </c>
      <c r="V119" s="94" t="s">
        <v>255</v>
      </c>
      <c r="W119" s="94" t="s">
        <v>255</v>
      </c>
      <c r="X119" s="94" t="s">
        <v>255</v>
      </c>
      <c r="Y119" s="94" t="s">
        <v>255</v>
      </c>
      <c r="Z119" s="94" t="s">
        <v>255</v>
      </c>
      <c r="AA119" s="94" t="s">
        <v>255</v>
      </c>
      <c r="AB119" s="94" t="s">
        <v>255</v>
      </c>
      <c r="AC119" s="94" t="s">
        <v>255</v>
      </c>
      <c r="AD119" s="94" t="s">
        <v>255</v>
      </c>
      <c r="AE119" s="94" t="s">
        <v>255</v>
      </c>
      <c r="AF119" s="94" t="s">
        <v>255</v>
      </c>
      <c r="AG119" s="94" t="s">
        <v>255</v>
      </c>
      <c r="AH119" s="94" t="s">
        <v>255</v>
      </c>
      <c r="AI119" s="94" t="s">
        <v>255</v>
      </c>
      <c r="AJ119" s="94" t="s">
        <v>255</v>
      </c>
      <c r="AK119" s="16" t="s">
        <v>255</v>
      </c>
    </row>
    <row r="120" spans="1:37" x14ac:dyDescent="0.25">
      <c r="A120" s="89" t="s">
        <v>123</v>
      </c>
      <c r="B120" s="89" t="s">
        <v>100</v>
      </c>
      <c r="C120" s="95" t="s">
        <v>255</v>
      </c>
      <c r="D120" s="95" t="s">
        <v>255</v>
      </c>
      <c r="E120" s="95" t="s">
        <v>255</v>
      </c>
      <c r="F120" s="95" t="s">
        <v>255</v>
      </c>
      <c r="G120" s="95" t="s">
        <v>255</v>
      </c>
      <c r="H120" s="95" t="s">
        <v>255</v>
      </c>
      <c r="I120" s="95" t="s">
        <v>255</v>
      </c>
      <c r="J120" s="95" t="s">
        <v>255</v>
      </c>
      <c r="K120" s="95" t="s">
        <v>255</v>
      </c>
      <c r="L120" s="95" t="s">
        <v>255</v>
      </c>
      <c r="M120" s="95" t="s">
        <v>255</v>
      </c>
      <c r="N120" s="95" t="s">
        <v>255</v>
      </c>
      <c r="O120" s="95" t="s">
        <v>255</v>
      </c>
      <c r="P120" s="95" t="s">
        <v>255</v>
      </c>
      <c r="Q120" s="95" t="s">
        <v>255</v>
      </c>
      <c r="R120" s="95" t="s">
        <v>255</v>
      </c>
      <c r="S120" s="95" t="s">
        <v>255</v>
      </c>
      <c r="T120" s="95" t="s">
        <v>255</v>
      </c>
      <c r="U120" s="95" t="s">
        <v>255</v>
      </c>
      <c r="V120" s="95" t="s">
        <v>255</v>
      </c>
      <c r="W120" s="95" t="s">
        <v>255</v>
      </c>
      <c r="X120" s="95" t="s">
        <v>255</v>
      </c>
      <c r="Y120" s="95" t="s">
        <v>255</v>
      </c>
      <c r="Z120" s="95" t="s">
        <v>255</v>
      </c>
      <c r="AA120" s="95" t="s">
        <v>255</v>
      </c>
      <c r="AB120" s="95" t="s">
        <v>255</v>
      </c>
      <c r="AC120" s="95" t="s">
        <v>255</v>
      </c>
      <c r="AD120" s="95" t="s">
        <v>255</v>
      </c>
      <c r="AE120" s="95" t="s">
        <v>255</v>
      </c>
      <c r="AF120" s="95" t="s">
        <v>255</v>
      </c>
      <c r="AG120" s="95" t="s">
        <v>255</v>
      </c>
      <c r="AH120" s="95" t="s">
        <v>255</v>
      </c>
      <c r="AI120" s="95" t="s">
        <v>255</v>
      </c>
      <c r="AJ120" s="95" t="s">
        <v>255</v>
      </c>
      <c r="AK120" s="16" t="s">
        <v>255</v>
      </c>
    </row>
    <row r="121" spans="1:37" x14ac:dyDescent="0.25">
      <c r="A121" s="89" t="s">
        <v>137</v>
      </c>
      <c r="B121" s="89" t="s">
        <v>100</v>
      </c>
      <c r="C121" s="90">
        <v>10414</v>
      </c>
      <c r="D121" s="90">
        <v>9235.4</v>
      </c>
      <c r="E121" s="90">
        <v>11654.9</v>
      </c>
      <c r="F121" s="90">
        <v>12897.5</v>
      </c>
      <c r="G121" s="90">
        <v>14662.6</v>
      </c>
      <c r="H121" s="90">
        <v>14473.1</v>
      </c>
      <c r="I121" s="90">
        <v>13877.2</v>
      </c>
      <c r="J121" s="90">
        <v>14753.1</v>
      </c>
      <c r="K121" s="90">
        <v>48373.7</v>
      </c>
      <c r="L121" s="90">
        <v>106849</v>
      </c>
      <c r="M121" s="90">
        <v>134083</v>
      </c>
      <c r="N121" s="90">
        <v>130309</v>
      </c>
      <c r="O121" s="90">
        <v>144639</v>
      </c>
      <c r="P121" s="90">
        <v>147167</v>
      </c>
      <c r="Q121" s="90">
        <v>142771.9</v>
      </c>
      <c r="R121" s="91">
        <v>148964.08600000001</v>
      </c>
      <c r="S121" s="91">
        <v>151321.535</v>
      </c>
      <c r="T121" s="91">
        <v>159208.62700000001</v>
      </c>
      <c r="U121" s="91">
        <v>158757.304</v>
      </c>
      <c r="V121" s="91">
        <v>151685.38800000001</v>
      </c>
      <c r="W121" s="91">
        <v>147786.51699999999</v>
      </c>
      <c r="X121" s="90">
        <v>152761.93</v>
      </c>
      <c r="Y121" s="91">
        <v>155182.26300000001</v>
      </c>
      <c r="Z121" s="91">
        <v>151908.73300000001</v>
      </c>
      <c r="AA121" s="91">
        <v>153302.20800000001</v>
      </c>
      <c r="AB121" s="90">
        <v>166958.989</v>
      </c>
      <c r="AC121" s="91">
        <v>164551.421</v>
      </c>
      <c r="AD121" s="91">
        <v>160993.628</v>
      </c>
      <c r="AE121" s="90">
        <v>158908.18</v>
      </c>
      <c r="AF121" s="90">
        <v>158145.44899999999</v>
      </c>
      <c r="AG121" s="91">
        <v>147217.60999999999</v>
      </c>
      <c r="AH121" s="91">
        <v>154061.47099999999</v>
      </c>
      <c r="AI121" s="91">
        <v>153303.51199999999</v>
      </c>
      <c r="AJ121" s="95">
        <v>147992.87599999999</v>
      </c>
      <c r="AK121" s="16" t="s">
        <v>255</v>
      </c>
    </row>
    <row r="122" spans="1:37" x14ac:dyDescent="0.25">
      <c r="A122" s="89" t="s">
        <v>138</v>
      </c>
      <c r="B122" s="89" t="s">
        <v>100</v>
      </c>
      <c r="C122" s="93">
        <v>20829</v>
      </c>
      <c r="D122" s="93">
        <v>23225.5</v>
      </c>
      <c r="E122" s="93">
        <v>24246.799999999999</v>
      </c>
      <c r="F122" s="93">
        <v>25172.400000000001</v>
      </c>
      <c r="G122" s="92">
        <v>25483.673999999999</v>
      </c>
      <c r="H122" s="93">
        <v>26793.8</v>
      </c>
      <c r="I122" s="93">
        <v>27991.7</v>
      </c>
      <c r="J122" s="93">
        <v>27229.7</v>
      </c>
      <c r="K122" s="93">
        <v>41531.4</v>
      </c>
      <c r="L122" s="93">
        <v>81899</v>
      </c>
      <c r="M122" s="93">
        <v>89925</v>
      </c>
      <c r="N122" s="93">
        <v>98951</v>
      </c>
      <c r="O122" s="93">
        <v>81638</v>
      </c>
      <c r="P122" s="93">
        <v>85199</v>
      </c>
      <c r="Q122" s="93">
        <v>90493</v>
      </c>
      <c r="R122" s="92">
        <v>91554.714999999997</v>
      </c>
      <c r="S122" s="93">
        <v>90157.14</v>
      </c>
      <c r="T122" s="92">
        <v>81292.501999999993</v>
      </c>
      <c r="U122" s="92">
        <v>87666.660999999993</v>
      </c>
      <c r="V122" s="92">
        <v>79014.262000000002</v>
      </c>
      <c r="W122" s="92">
        <v>80027.391000000003</v>
      </c>
      <c r="X122" s="93">
        <v>71776.06</v>
      </c>
      <c r="Y122" s="92">
        <v>73259.898000000001</v>
      </c>
      <c r="Z122" s="92">
        <v>71137.361000000004</v>
      </c>
      <c r="AA122" s="92">
        <v>71152.475000000006</v>
      </c>
      <c r="AB122" s="92">
        <v>68430.327999999994</v>
      </c>
      <c r="AC122" s="92">
        <v>65186.508000000002</v>
      </c>
      <c r="AD122" s="92">
        <v>68030.221000000005</v>
      </c>
      <c r="AE122" s="92">
        <v>65822.686000000002</v>
      </c>
      <c r="AF122" s="92">
        <v>66692.525999999998</v>
      </c>
      <c r="AG122" s="92">
        <v>61086.722999999998</v>
      </c>
      <c r="AH122" s="92">
        <v>58045.696000000004</v>
      </c>
      <c r="AI122" s="92">
        <v>60871.972000000002</v>
      </c>
      <c r="AJ122" s="94">
        <v>58920.377999999997</v>
      </c>
      <c r="AK122" s="16" t="s">
        <v>255</v>
      </c>
    </row>
    <row r="123" spans="1:37" x14ac:dyDescent="0.25">
      <c r="A123" s="89" t="s">
        <v>140</v>
      </c>
      <c r="B123" s="89" t="s">
        <v>100</v>
      </c>
      <c r="C123" s="93">
        <v>9804</v>
      </c>
      <c r="D123" s="93">
        <v>13955</v>
      </c>
      <c r="E123" s="93">
        <v>14748</v>
      </c>
      <c r="F123" s="93">
        <v>14644</v>
      </c>
      <c r="G123" s="93">
        <v>18543</v>
      </c>
      <c r="H123" s="93">
        <v>18073</v>
      </c>
      <c r="I123" s="93">
        <v>26444</v>
      </c>
      <c r="J123" s="93">
        <v>24441</v>
      </c>
      <c r="K123" s="93">
        <v>30059</v>
      </c>
      <c r="L123" s="93">
        <v>29046</v>
      </c>
      <c r="M123" s="93">
        <v>30258</v>
      </c>
      <c r="N123" s="93">
        <v>31551</v>
      </c>
      <c r="O123" s="93">
        <v>30117</v>
      </c>
      <c r="P123" s="93">
        <v>29940</v>
      </c>
      <c r="Q123" s="93">
        <v>28528</v>
      </c>
      <c r="R123" s="92">
        <v>29124.932000000001</v>
      </c>
      <c r="S123" s="92">
        <v>27310.482</v>
      </c>
      <c r="T123" s="92">
        <v>26880.518</v>
      </c>
      <c r="U123" s="92">
        <v>28239.832999999999</v>
      </c>
      <c r="V123" s="92">
        <v>25226.774000000001</v>
      </c>
      <c r="W123" s="92">
        <v>22745.181</v>
      </c>
      <c r="X123" s="92">
        <v>21629.973000000002</v>
      </c>
      <c r="Y123" s="92">
        <v>20579.495999999999</v>
      </c>
      <c r="Z123" s="92">
        <v>17643.025000000001</v>
      </c>
      <c r="AA123" s="92">
        <v>14680.397000000001</v>
      </c>
      <c r="AB123" s="92">
        <v>15228.546</v>
      </c>
      <c r="AC123" s="93">
        <v>17461.82</v>
      </c>
      <c r="AD123" s="92">
        <v>16443.741000000002</v>
      </c>
      <c r="AE123" s="93">
        <v>16552.009999999998</v>
      </c>
      <c r="AF123" s="92">
        <v>16906.075000000001</v>
      </c>
      <c r="AG123" s="93">
        <v>24524.32</v>
      </c>
      <c r="AH123" s="92">
        <v>24662.456999999999</v>
      </c>
      <c r="AI123" s="92">
        <v>28827.206999999999</v>
      </c>
      <c r="AJ123" s="94">
        <v>26929.814999999999</v>
      </c>
      <c r="AK123" s="16" t="s">
        <v>255</v>
      </c>
    </row>
    <row r="124" spans="1:37" x14ac:dyDescent="0.25">
      <c r="A124" s="89" t="s">
        <v>141</v>
      </c>
      <c r="B124" s="89" t="s">
        <v>100</v>
      </c>
      <c r="C124" s="90">
        <v>21962</v>
      </c>
      <c r="D124" s="90">
        <v>55546.400000000001</v>
      </c>
      <c r="E124" s="90">
        <v>53761.8</v>
      </c>
      <c r="F124" s="90">
        <v>51188.1</v>
      </c>
      <c r="G124" s="91">
        <v>47065.122000000003</v>
      </c>
      <c r="H124" s="90">
        <v>47977.8</v>
      </c>
      <c r="I124" s="90">
        <v>61295.1</v>
      </c>
      <c r="J124" s="90">
        <v>67564.7</v>
      </c>
      <c r="K124" s="90">
        <v>70449.3</v>
      </c>
      <c r="L124" s="90">
        <v>65385.2</v>
      </c>
      <c r="M124" s="90">
        <v>64823</v>
      </c>
      <c r="N124" s="90">
        <v>60236</v>
      </c>
      <c r="O124" s="90">
        <v>57985.8</v>
      </c>
      <c r="P124" s="90">
        <v>57739</v>
      </c>
      <c r="Q124" s="90">
        <v>57794.1</v>
      </c>
      <c r="R124" s="91">
        <v>57327.402000000002</v>
      </c>
      <c r="S124" s="91">
        <v>57171.146000000001</v>
      </c>
      <c r="T124" s="91">
        <v>54492.214</v>
      </c>
      <c r="U124" s="90">
        <v>49531.15</v>
      </c>
      <c r="V124" s="91">
        <v>43977.080999999998</v>
      </c>
      <c r="W124" s="91">
        <v>47089.817999999999</v>
      </c>
      <c r="X124" s="91">
        <v>44850.803999999996</v>
      </c>
      <c r="Y124" s="91">
        <v>43594.241000000002</v>
      </c>
      <c r="Z124" s="91">
        <v>38536.177000000003</v>
      </c>
      <c r="AA124" s="91">
        <v>41126.038999999997</v>
      </c>
      <c r="AB124" s="91">
        <v>43771.779000000002</v>
      </c>
      <c r="AC124" s="91">
        <v>47015.243000000002</v>
      </c>
      <c r="AD124" s="91">
        <v>49443.459000000003</v>
      </c>
      <c r="AE124" s="91">
        <v>47955.495000000003</v>
      </c>
      <c r="AF124" s="91">
        <v>37209.495000000003</v>
      </c>
      <c r="AG124" s="91">
        <v>18067.111000000001</v>
      </c>
      <c r="AH124" s="91">
        <v>19867.288</v>
      </c>
      <c r="AI124" s="90">
        <v>21564.36</v>
      </c>
      <c r="AJ124" s="95">
        <v>21293.411</v>
      </c>
      <c r="AK124" s="16" t="s">
        <v>255</v>
      </c>
    </row>
    <row r="125" spans="1:37" x14ac:dyDescent="0.25">
      <c r="A125" s="89" t="s">
        <v>93</v>
      </c>
      <c r="B125" s="89" t="s">
        <v>100</v>
      </c>
      <c r="C125" s="93">
        <v>564596.19999999995</v>
      </c>
      <c r="D125" s="92">
        <v>558339.48400000005</v>
      </c>
      <c r="E125" s="93">
        <v>562998</v>
      </c>
      <c r="F125" s="93">
        <v>571872.5</v>
      </c>
      <c r="G125" s="92">
        <v>582782.11600000004</v>
      </c>
      <c r="H125" s="93">
        <v>581083.1</v>
      </c>
      <c r="I125" s="93">
        <v>595852.30000000005</v>
      </c>
      <c r="J125" s="93">
        <v>607772.69999999995</v>
      </c>
      <c r="K125" s="93">
        <v>632313.5</v>
      </c>
      <c r="L125" s="93">
        <v>602248.30000000005</v>
      </c>
      <c r="M125" s="93">
        <v>611680.5</v>
      </c>
      <c r="N125" s="93">
        <v>614306.1</v>
      </c>
      <c r="O125" s="93">
        <v>607328.4</v>
      </c>
      <c r="P125" s="93">
        <v>617557.6</v>
      </c>
      <c r="Q125" s="93">
        <v>627437</v>
      </c>
      <c r="R125" s="92">
        <v>629438.58200000005</v>
      </c>
      <c r="S125" s="92">
        <v>631245.03099999996</v>
      </c>
      <c r="T125" s="92">
        <v>624388.65899999999</v>
      </c>
      <c r="U125" s="92">
        <v>624062.66200000001</v>
      </c>
      <c r="V125" s="92">
        <v>581498.223</v>
      </c>
      <c r="W125" s="92">
        <v>576940.86600000004</v>
      </c>
      <c r="X125" s="92">
        <v>563247.45299999998</v>
      </c>
      <c r="Y125" s="92">
        <v>562840.26800000004</v>
      </c>
      <c r="Z125" s="92">
        <v>539400.18900000001</v>
      </c>
      <c r="AA125" s="92">
        <v>542509.02500000002</v>
      </c>
      <c r="AB125" s="92">
        <v>570526.23699999996</v>
      </c>
      <c r="AC125" s="92">
        <v>569923.13899999997</v>
      </c>
      <c r="AD125" s="92">
        <v>581643.04099999997</v>
      </c>
      <c r="AE125" s="92">
        <v>573793.16899999999</v>
      </c>
      <c r="AF125" s="93">
        <v>563102.80299999996</v>
      </c>
      <c r="AG125" s="92">
        <v>496266.342</v>
      </c>
      <c r="AH125" s="93">
        <v>511992.152</v>
      </c>
      <c r="AI125" s="92">
        <v>534944.31200000003</v>
      </c>
      <c r="AJ125" s="93">
        <v>527970.13699999999</v>
      </c>
      <c r="AK125" s="16">
        <v>525197.103</v>
      </c>
    </row>
    <row r="126" spans="1:37" x14ac:dyDescent="0.25">
      <c r="A126" s="89" t="s">
        <v>92</v>
      </c>
      <c r="B126" s="89" t="s">
        <v>100</v>
      </c>
      <c r="C126" s="93">
        <v>564596.19999999995</v>
      </c>
      <c r="D126" s="92">
        <v>558339.48400000005</v>
      </c>
      <c r="E126" s="93">
        <v>562998</v>
      </c>
      <c r="F126" s="93">
        <v>571872.5</v>
      </c>
      <c r="G126" s="92">
        <v>582782.11600000004</v>
      </c>
      <c r="H126" s="93">
        <v>581083.1</v>
      </c>
      <c r="I126" s="93">
        <v>595852.30000000005</v>
      </c>
      <c r="J126" s="93">
        <v>607772.69999999995</v>
      </c>
      <c r="K126" s="93">
        <v>632313.5</v>
      </c>
      <c r="L126" s="93">
        <v>602248.30000000005</v>
      </c>
      <c r="M126" s="93">
        <v>611680.5</v>
      </c>
      <c r="N126" s="93">
        <v>614060.1</v>
      </c>
      <c r="O126" s="93">
        <v>607087.4</v>
      </c>
      <c r="P126" s="93">
        <v>617557.6</v>
      </c>
      <c r="Q126" s="93">
        <v>627437</v>
      </c>
      <c r="R126" s="92">
        <v>629434.58200000005</v>
      </c>
      <c r="S126" s="92">
        <v>631222.03099999996</v>
      </c>
      <c r="T126" s="92">
        <v>624333.65899999999</v>
      </c>
      <c r="U126" s="92">
        <v>623840.66200000001</v>
      </c>
      <c r="V126" s="92">
        <v>581284.223</v>
      </c>
      <c r="W126" s="92">
        <v>576867.86600000004</v>
      </c>
      <c r="X126" s="92">
        <v>563173.45299999998</v>
      </c>
      <c r="Y126" s="92">
        <v>562840.26800000004</v>
      </c>
      <c r="Z126" s="92">
        <v>539400.18900000001</v>
      </c>
      <c r="AA126" s="92">
        <v>542509.02500000002</v>
      </c>
      <c r="AB126" s="92">
        <v>570526.23699999996</v>
      </c>
      <c r="AC126" s="92">
        <v>569923.13899999997</v>
      </c>
      <c r="AD126" s="92">
        <v>581643.04099999997</v>
      </c>
      <c r="AE126" s="92">
        <v>573793.16899999999</v>
      </c>
      <c r="AF126" s="93">
        <v>563102.80299999996</v>
      </c>
      <c r="AG126" s="92">
        <v>496266.342</v>
      </c>
      <c r="AH126" s="93">
        <v>511992.152</v>
      </c>
      <c r="AI126" s="92">
        <v>534944.31200000003</v>
      </c>
      <c r="AJ126" s="92">
        <v>527963.23400000005</v>
      </c>
      <c r="AK126" s="16">
        <v>525197.09100000001</v>
      </c>
    </row>
    <row r="127" spans="1:37" x14ac:dyDescent="0.25">
      <c r="A127" s="89" t="s">
        <v>94</v>
      </c>
      <c r="B127" s="89" t="s">
        <v>100</v>
      </c>
      <c r="C127" s="90">
        <v>564596.19999999995</v>
      </c>
      <c r="D127" s="91">
        <v>558339.48400000005</v>
      </c>
      <c r="E127" s="90">
        <v>562998</v>
      </c>
      <c r="F127" s="90">
        <v>571872.5</v>
      </c>
      <c r="G127" s="91">
        <v>582782.11600000004</v>
      </c>
      <c r="H127" s="90">
        <v>581083.1</v>
      </c>
      <c r="I127" s="90">
        <v>595852.30000000005</v>
      </c>
      <c r="J127" s="90">
        <v>607772.69999999995</v>
      </c>
      <c r="K127" s="90">
        <v>632313.5</v>
      </c>
      <c r="L127" s="90">
        <v>602248.30000000005</v>
      </c>
      <c r="M127" s="90">
        <v>611680.5</v>
      </c>
      <c r="N127" s="90">
        <v>614060.1</v>
      </c>
      <c r="O127" s="90">
        <v>607087.4</v>
      </c>
      <c r="P127" s="90">
        <v>617557.6</v>
      </c>
      <c r="Q127" s="90">
        <v>627437</v>
      </c>
      <c r="R127" s="91">
        <v>629434.58200000005</v>
      </c>
      <c r="S127" s="91">
        <v>631222.03099999996</v>
      </c>
      <c r="T127" s="91">
        <v>624333.65899999999</v>
      </c>
      <c r="U127" s="91">
        <v>623840.66200000001</v>
      </c>
      <c r="V127" s="91">
        <v>581284.223</v>
      </c>
      <c r="W127" s="91">
        <v>576867.86600000004</v>
      </c>
      <c r="X127" s="91">
        <v>563173.45299999998</v>
      </c>
      <c r="Y127" s="91">
        <v>562840.26800000004</v>
      </c>
      <c r="Z127" s="91">
        <v>539400.18900000001</v>
      </c>
      <c r="AA127" s="91">
        <v>542509.02500000002</v>
      </c>
      <c r="AB127" s="91">
        <v>570526.23699999996</v>
      </c>
      <c r="AC127" s="91">
        <v>569923.13899999997</v>
      </c>
      <c r="AD127" s="91">
        <v>581643.04099999997</v>
      </c>
      <c r="AE127" s="91">
        <v>573793.16899999999</v>
      </c>
      <c r="AF127" s="90">
        <v>563102.80299999996</v>
      </c>
      <c r="AG127" s="91">
        <v>496266.342</v>
      </c>
      <c r="AH127" s="90">
        <v>511992.152</v>
      </c>
      <c r="AI127" s="91">
        <v>534944.31200000003</v>
      </c>
      <c r="AJ127" s="91">
        <v>527963.23400000005</v>
      </c>
      <c r="AK127" s="16">
        <v>525197.09100000001</v>
      </c>
    </row>
    <row r="128" spans="1:37" x14ac:dyDescent="0.25">
      <c r="A128" s="89" t="s">
        <v>135</v>
      </c>
      <c r="B128" s="89" t="s">
        <v>100</v>
      </c>
      <c r="C128" s="90">
        <v>186888.6</v>
      </c>
      <c r="D128" s="90">
        <v>189437.9</v>
      </c>
      <c r="E128" s="90">
        <v>194396.7</v>
      </c>
      <c r="F128" s="90">
        <v>202303.9</v>
      </c>
      <c r="G128" s="91">
        <v>207477.231</v>
      </c>
      <c r="H128" s="90">
        <v>204353.9</v>
      </c>
      <c r="I128" s="90">
        <v>214781.9</v>
      </c>
      <c r="J128" s="90">
        <v>219737.8</v>
      </c>
      <c r="K128" s="90">
        <v>228656.1</v>
      </c>
      <c r="L128" s="90">
        <v>217550</v>
      </c>
      <c r="M128" s="90">
        <v>224008</v>
      </c>
      <c r="N128" s="90">
        <v>229260</v>
      </c>
      <c r="O128" s="90">
        <v>226277</v>
      </c>
      <c r="P128" s="90">
        <v>232366</v>
      </c>
      <c r="Q128" s="90">
        <v>233265</v>
      </c>
      <c r="R128" s="91">
        <v>240518.80100000001</v>
      </c>
      <c r="S128" s="91">
        <v>241477.67499999999</v>
      </c>
      <c r="T128" s="91">
        <v>240501.12899999999</v>
      </c>
      <c r="U128" s="91">
        <v>246423.565</v>
      </c>
      <c r="V128" s="90">
        <v>230699.65</v>
      </c>
      <c r="W128" s="91">
        <v>227813.908</v>
      </c>
      <c r="X128" s="90">
        <v>224537.99</v>
      </c>
      <c r="Y128" s="91">
        <v>228442.16099999999</v>
      </c>
      <c r="Z128" s="91">
        <v>223046.09400000001</v>
      </c>
      <c r="AA128" s="91">
        <v>224454.68299999999</v>
      </c>
      <c r="AB128" s="91">
        <v>235389.217</v>
      </c>
      <c r="AC128" s="91">
        <v>229737.929</v>
      </c>
      <c r="AD128" s="91">
        <v>232055.432</v>
      </c>
      <c r="AE128" s="91">
        <v>227276.03400000001</v>
      </c>
      <c r="AF128" s="91">
        <v>228028.47700000001</v>
      </c>
      <c r="AG128" s="91">
        <v>210795.24799999999</v>
      </c>
      <c r="AH128" s="91">
        <v>214233.70800000001</v>
      </c>
      <c r="AI128" s="91">
        <v>217501.23699999999</v>
      </c>
      <c r="AJ128" s="91">
        <v>209860.00899999999</v>
      </c>
      <c r="AK128" s="16">
        <v>212450.459</v>
      </c>
    </row>
    <row r="129" spans="1:37" x14ac:dyDescent="0.25">
      <c r="A129" s="89" t="s">
        <v>136</v>
      </c>
      <c r="B129" s="89" t="s">
        <v>100</v>
      </c>
      <c r="C129" s="93">
        <v>186888.6</v>
      </c>
      <c r="D129" s="93">
        <v>189437.9</v>
      </c>
      <c r="E129" s="93">
        <v>194396.7</v>
      </c>
      <c r="F129" s="93">
        <v>202303.9</v>
      </c>
      <c r="G129" s="92">
        <v>207477.231</v>
      </c>
      <c r="H129" s="93">
        <v>204353.9</v>
      </c>
      <c r="I129" s="93">
        <v>214781.9</v>
      </c>
      <c r="J129" s="93">
        <v>219737.8</v>
      </c>
      <c r="K129" s="93">
        <v>228656.1</v>
      </c>
      <c r="L129" s="93">
        <v>217550</v>
      </c>
      <c r="M129" s="93">
        <v>224008</v>
      </c>
      <c r="N129" s="93">
        <v>229064</v>
      </c>
      <c r="O129" s="93">
        <v>226086</v>
      </c>
      <c r="P129" s="93">
        <v>232366</v>
      </c>
      <c r="Q129" s="93">
        <v>233265</v>
      </c>
      <c r="R129" s="92">
        <v>240518.80100000001</v>
      </c>
      <c r="S129" s="92">
        <v>241477.67499999999</v>
      </c>
      <c r="T129" s="92">
        <v>240499.12899999999</v>
      </c>
      <c r="U129" s="92">
        <v>246286.565</v>
      </c>
      <c r="V129" s="93">
        <v>230562.65</v>
      </c>
      <c r="W129" s="92">
        <v>227813.908</v>
      </c>
      <c r="X129" s="93">
        <v>224537.99</v>
      </c>
      <c r="Y129" s="92">
        <v>228442.16099999999</v>
      </c>
      <c r="Z129" s="92">
        <v>223046.09400000001</v>
      </c>
      <c r="AA129" s="92">
        <v>224454.68299999999</v>
      </c>
      <c r="AB129" s="92">
        <v>235389.217</v>
      </c>
      <c r="AC129" s="92">
        <v>229737.929</v>
      </c>
      <c r="AD129" s="92">
        <v>232055.432</v>
      </c>
      <c r="AE129" s="92">
        <v>227276.03400000001</v>
      </c>
      <c r="AF129" s="92">
        <v>228028.47700000001</v>
      </c>
      <c r="AG129" s="92">
        <v>210795.24799999999</v>
      </c>
      <c r="AH129" s="92">
        <v>214233.70800000001</v>
      </c>
      <c r="AI129" s="92">
        <v>217501.23699999999</v>
      </c>
      <c r="AJ129" s="92">
        <v>209853.106</v>
      </c>
      <c r="AK129" s="16">
        <v>212450.44699999999</v>
      </c>
    </row>
    <row r="130" spans="1:37" x14ac:dyDescent="0.25">
      <c r="A130" s="89" t="s">
        <v>129</v>
      </c>
      <c r="B130" s="89" t="s">
        <v>100</v>
      </c>
      <c r="C130" s="90">
        <v>114136</v>
      </c>
      <c r="D130" s="90">
        <v>110656</v>
      </c>
      <c r="E130" s="90">
        <v>115783</v>
      </c>
      <c r="F130" s="90">
        <v>116913</v>
      </c>
      <c r="G130" s="90">
        <v>119075</v>
      </c>
      <c r="H130" s="90">
        <v>120455</v>
      </c>
      <c r="I130" s="90">
        <v>121630.2</v>
      </c>
      <c r="J130" s="90">
        <v>123498.7</v>
      </c>
      <c r="K130" s="90">
        <v>125729</v>
      </c>
      <c r="L130" s="90">
        <v>120952</v>
      </c>
      <c r="M130" s="90">
        <v>120585</v>
      </c>
      <c r="N130" s="90">
        <v>123610</v>
      </c>
      <c r="O130" s="90">
        <v>121583</v>
      </c>
      <c r="P130" s="90">
        <v>122219</v>
      </c>
      <c r="Q130" s="90">
        <v>123898</v>
      </c>
      <c r="R130" s="91">
        <v>124509.981</v>
      </c>
      <c r="S130" s="91">
        <v>125725.814</v>
      </c>
      <c r="T130" s="91">
        <v>120181.863</v>
      </c>
      <c r="U130" s="91">
        <v>117232.913</v>
      </c>
      <c r="V130" s="91">
        <v>113712.505</v>
      </c>
      <c r="W130" s="91">
        <v>107245.48699999999</v>
      </c>
      <c r="X130" s="91">
        <v>103150.359</v>
      </c>
      <c r="Y130" s="91">
        <v>102712.71799999999</v>
      </c>
      <c r="Z130" s="91">
        <v>97114.824999999997</v>
      </c>
      <c r="AA130" s="91">
        <v>98587.087</v>
      </c>
      <c r="AB130" s="91">
        <v>102028.717</v>
      </c>
      <c r="AC130" s="91">
        <v>101732.253</v>
      </c>
      <c r="AD130" s="91">
        <v>101781.352</v>
      </c>
      <c r="AE130" s="91">
        <v>102320.652</v>
      </c>
      <c r="AF130" s="91">
        <v>99955.327000000005</v>
      </c>
      <c r="AG130" s="91">
        <v>87262.569000000003</v>
      </c>
      <c r="AH130" s="91">
        <v>93095.476999999999</v>
      </c>
      <c r="AI130" s="91">
        <v>96190.133000000002</v>
      </c>
      <c r="AJ130" s="91">
        <v>97841.998000000007</v>
      </c>
      <c r="AK130" s="16">
        <v>98141.32</v>
      </c>
    </row>
    <row r="131" spans="1:37" x14ac:dyDescent="0.25">
      <c r="A131" s="89" t="s">
        <v>130</v>
      </c>
      <c r="B131" s="89" t="s">
        <v>100</v>
      </c>
      <c r="C131" s="93">
        <v>114136</v>
      </c>
      <c r="D131" s="93">
        <v>110656</v>
      </c>
      <c r="E131" s="93">
        <v>115783</v>
      </c>
      <c r="F131" s="93">
        <v>116913</v>
      </c>
      <c r="G131" s="93">
        <v>119075</v>
      </c>
      <c r="H131" s="93">
        <v>120455</v>
      </c>
      <c r="I131" s="93">
        <v>121630.2</v>
      </c>
      <c r="J131" s="93">
        <v>123498.7</v>
      </c>
      <c r="K131" s="93">
        <v>125729</v>
      </c>
      <c r="L131" s="93">
        <v>120952</v>
      </c>
      <c r="M131" s="93">
        <v>120585</v>
      </c>
      <c r="N131" s="93">
        <v>123560</v>
      </c>
      <c r="O131" s="93">
        <v>121533</v>
      </c>
      <c r="P131" s="93">
        <v>122219</v>
      </c>
      <c r="Q131" s="93">
        <v>123898</v>
      </c>
      <c r="R131" s="92">
        <v>124505.981</v>
      </c>
      <c r="S131" s="92">
        <v>125702.814</v>
      </c>
      <c r="T131" s="92">
        <v>120128.863</v>
      </c>
      <c r="U131" s="92">
        <v>117147.913</v>
      </c>
      <c r="V131" s="92">
        <v>113635.505</v>
      </c>
      <c r="W131" s="92">
        <v>107172.48699999999</v>
      </c>
      <c r="X131" s="92">
        <v>103076.359</v>
      </c>
      <c r="Y131" s="92">
        <v>102712.71799999999</v>
      </c>
      <c r="Z131" s="92">
        <v>97114.824999999997</v>
      </c>
      <c r="AA131" s="92">
        <v>98587.087</v>
      </c>
      <c r="AB131" s="92">
        <v>102028.717</v>
      </c>
      <c r="AC131" s="92">
        <v>101732.253</v>
      </c>
      <c r="AD131" s="92">
        <v>101781.352</v>
      </c>
      <c r="AE131" s="92">
        <v>102320.652</v>
      </c>
      <c r="AF131" s="92">
        <v>99955.327000000005</v>
      </c>
      <c r="AG131" s="92">
        <v>87262.569000000003</v>
      </c>
      <c r="AH131" s="92">
        <v>93095.476999999999</v>
      </c>
      <c r="AI131" s="92">
        <v>96190.133000000002</v>
      </c>
      <c r="AJ131" s="92">
        <v>97841.998000000007</v>
      </c>
      <c r="AK131" s="16">
        <v>98141.32</v>
      </c>
    </row>
    <row r="132" spans="1:37" x14ac:dyDescent="0.25">
      <c r="A132" s="89" t="s">
        <v>139</v>
      </c>
      <c r="B132" s="89" t="s">
        <v>100</v>
      </c>
      <c r="C132" s="90">
        <v>126991</v>
      </c>
      <c r="D132" s="90">
        <v>126701</v>
      </c>
      <c r="E132" s="90">
        <v>122458.8</v>
      </c>
      <c r="F132" s="90">
        <v>121176.1</v>
      </c>
      <c r="G132" s="90">
        <v>113638</v>
      </c>
      <c r="H132" s="90">
        <v>111251</v>
      </c>
      <c r="I132" s="90">
        <v>111267.1</v>
      </c>
      <c r="J132" s="90">
        <v>112162.7</v>
      </c>
      <c r="K132" s="90">
        <v>118916</v>
      </c>
      <c r="L132" s="90">
        <v>107381.2</v>
      </c>
      <c r="M132" s="90">
        <v>108656</v>
      </c>
      <c r="N132" s="90">
        <v>104979</v>
      </c>
      <c r="O132" s="90">
        <v>100285.8</v>
      </c>
      <c r="P132" s="90">
        <v>99911</v>
      </c>
      <c r="Q132" s="90">
        <v>100335.1</v>
      </c>
      <c r="R132" s="91">
        <v>99792.334000000003</v>
      </c>
      <c r="S132" s="91">
        <v>98165.627999999997</v>
      </c>
      <c r="T132" s="91">
        <v>95041.732000000004</v>
      </c>
      <c r="U132" s="91">
        <v>89793.982999999993</v>
      </c>
      <c r="V132" s="91">
        <v>78959.854999999996</v>
      </c>
      <c r="W132" s="91">
        <v>77776.998999999996</v>
      </c>
      <c r="X132" s="91">
        <v>74234.777000000002</v>
      </c>
      <c r="Y132" s="91">
        <v>72492.736999999994</v>
      </c>
      <c r="Z132" s="91">
        <v>63955.201999999997</v>
      </c>
      <c r="AA132" s="91">
        <v>63502.436000000002</v>
      </c>
      <c r="AB132" s="91">
        <v>66953.324999999997</v>
      </c>
      <c r="AC132" s="91">
        <v>71851.062999999995</v>
      </c>
      <c r="AD132" s="90">
        <v>73263.199999999997</v>
      </c>
      <c r="AE132" s="91">
        <v>71803.505000000005</v>
      </c>
      <c r="AF132" s="90">
        <v>61149.57</v>
      </c>
      <c r="AG132" s="91">
        <v>48811.430999999997</v>
      </c>
      <c r="AH132" s="91">
        <v>51950.745000000003</v>
      </c>
      <c r="AI132" s="91">
        <v>57336.567000000003</v>
      </c>
      <c r="AJ132" s="91">
        <v>54176.226000000002</v>
      </c>
      <c r="AK132" s="16">
        <v>51975.95</v>
      </c>
    </row>
    <row r="133" spans="1:37" x14ac:dyDescent="0.25">
      <c r="A133" s="89" t="s">
        <v>127</v>
      </c>
      <c r="B133" s="89" t="s">
        <v>100</v>
      </c>
      <c r="C133" s="90">
        <v>30815</v>
      </c>
      <c r="D133" s="90">
        <v>29044.3</v>
      </c>
      <c r="E133" s="90">
        <v>28744.400000000001</v>
      </c>
      <c r="F133" s="90">
        <v>29333</v>
      </c>
      <c r="G133" s="90">
        <v>32201.4</v>
      </c>
      <c r="H133" s="90">
        <v>35404.6</v>
      </c>
      <c r="I133" s="90">
        <v>36014</v>
      </c>
      <c r="J133" s="90">
        <v>37645.1</v>
      </c>
      <c r="K133" s="90">
        <v>39833</v>
      </c>
      <c r="L133" s="90">
        <v>37984</v>
      </c>
      <c r="M133" s="90">
        <v>37873</v>
      </c>
      <c r="N133" s="90">
        <v>35853</v>
      </c>
      <c r="O133" s="90">
        <v>35623</v>
      </c>
      <c r="P133" s="90">
        <v>37070</v>
      </c>
      <c r="Q133" s="90">
        <v>35905</v>
      </c>
      <c r="R133" s="91">
        <v>34415.536</v>
      </c>
      <c r="S133" s="90">
        <v>33098.21</v>
      </c>
      <c r="T133" s="91">
        <v>33845.938000000002</v>
      </c>
      <c r="U133" s="91">
        <v>35519.021000000001</v>
      </c>
      <c r="V133" s="91">
        <v>32684.651000000002</v>
      </c>
      <c r="W133" s="91">
        <v>34601.930999999997</v>
      </c>
      <c r="X133" s="91">
        <v>34540.389000000003</v>
      </c>
      <c r="Y133" s="90">
        <v>33846.639999999999</v>
      </c>
      <c r="Z133" s="91">
        <v>32899.720999999998</v>
      </c>
      <c r="AA133" s="91">
        <v>33310.618000000002</v>
      </c>
      <c r="AB133" s="91">
        <v>36297.432999999997</v>
      </c>
      <c r="AC133" s="91">
        <v>37335.034</v>
      </c>
      <c r="AD133" s="91">
        <v>42866.476999999999</v>
      </c>
      <c r="AE133" s="91">
        <v>41907.434000000001</v>
      </c>
      <c r="AF133" s="91">
        <v>40650.997000000003</v>
      </c>
      <c r="AG133" s="91">
        <v>38265.495000000003</v>
      </c>
      <c r="AH133" s="91">
        <v>38044.784</v>
      </c>
      <c r="AI133" s="91">
        <v>38667.235999999997</v>
      </c>
      <c r="AJ133" s="91">
        <v>40280.455000000002</v>
      </c>
      <c r="AK133" s="16">
        <v>39121.161</v>
      </c>
    </row>
    <row r="134" spans="1:37" x14ac:dyDescent="0.25">
      <c r="A134" s="89" t="s">
        <v>132</v>
      </c>
      <c r="B134" s="89" t="s">
        <v>100</v>
      </c>
      <c r="C134" s="93">
        <v>25774</v>
      </c>
      <c r="D134" s="93">
        <v>23719</v>
      </c>
      <c r="E134" s="93">
        <v>23655</v>
      </c>
      <c r="F134" s="93">
        <v>24373</v>
      </c>
      <c r="G134" s="93">
        <v>27403</v>
      </c>
      <c r="H134" s="93">
        <v>28521</v>
      </c>
      <c r="I134" s="93">
        <v>30891.599999999999</v>
      </c>
      <c r="J134" s="93">
        <v>30791.3</v>
      </c>
      <c r="K134" s="93">
        <v>32176</v>
      </c>
      <c r="L134" s="93">
        <v>33968</v>
      </c>
      <c r="M134" s="93">
        <v>33835</v>
      </c>
      <c r="N134" s="93">
        <v>31887</v>
      </c>
      <c r="O134" s="93">
        <v>30807</v>
      </c>
      <c r="P134" s="93">
        <v>31242</v>
      </c>
      <c r="Q134" s="93">
        <v>32140</v>
      </c>
      <c r="R134" s="92">
        <v>31582.163</v>
      </c>
      <c r="S134" s="92">
        <v>32212.663</v>
      </c>
      <c r="T134" s="93">
        <v>31934.799999999999</v>
      </c>
      <c r="U134" s="92">
        <v>31828.034</v>
      </c>
      <c r="V134" s="93">
        <v>28170.75</v>
      </c>
      <c r="W134" s="92">
        <v>28117.457999999999</v>
      </c>
      <c r="X134" s="92">
        <v>28771.544999999998</v>
      </c>
      <c r="Y134" s="92">
        <v>27224.257000000001</v>
      </c>
      <c r="Z134" s="92">
        <v>27556.823</v>
      </c>
      <c r="AA134" s="92">
        <v>27542.109</v>
      </c>
      <c r="AB134" s="92">
        <v>28417.339</v>
      </c>
      <c r="AC134" s="92">
        <v>28809.008000000002</v>
      </c>
      <c r="AD134" s="92">
        <v>30261.523000000001</v>
      </c>
      <c r="AE134" s="92">
        <v>33299.065999999999</v>
      </c>
      <c r="AF134" s="92">
        <v>33037.322999999997</v>
      </c>
      <c r="AG134" s="92">
        <v>15838.438</v>
      </c>
      <c r="AH134" s="92">
        <v>16295.182000000001</v>
      </c>
      <c r="AI134" s="92">
        <v>26879.726999999999</v>
      </c>
      <c r="AJ134" s="92">
        <v>30248.061000000002</v>
      </c>
      <c r="AK134" s="16">
        <v>30682.29</v>
      </c>
    </row>
    <row r="135" spans="1:37" x14ac:dyDescent="0.25">
      <c r="A135" s="89" t="s">
        <v>133</v>
      </c>
      <c r="B135" s="89" t="s">
        <v>100</v>
      </c>
      <c r="C135" s="90">
        <v>25774</v>
      </c>
      <c r="D135" s="90">
        <v>23719</v>
      </c>
      <c r="E135" s="90">
        <v>23655</v>
      </c>
      <c r="F135" s="90">
        <v>24373</v>
      </c>
      <c r="G135" s="90">
        <v>27403</v>
      </c>
      <c r="H135" s="90">
        <v>28521</v>
      </c>
      <c r="I135" s="90">
        <v>30891.599999999999</v>
      </c>
      <c r="J135" s="90">
        <v>30791.3</v>
      </c>
      <c r="K135" s="90">
        <v>32176</v>
      </c>
      <c r="L135" s="90">
        <v>33968</v>
      </c>
      <c r="M135" s="90">
        <v>33835</v>
      </c>
      <c r="N135" s="90">
        <v>31887</v>
      </c>
      <c r="O135" s="90">
        <v>30807</v>
      </c>
      <c r="P135" s="90">
        <v>31242</v>
      </c>
      <c r="Q135" s="90">
        <v>32140</v>
      </c>
      <c r="R135" s="91">
        <v>31582.163</v>
      </c>
      <c r="S135" s="91">
        <v>32212.663</v>
      </c>
      <c r="T135" s="90">
        <v>31934.799999999999</v>
      </c>
      <c r="U135" s="91">
        <v>31828.034</v>
      </c>
      <c r="V135" s="90">
        <v>28170.75</v>
      </c>
      <c r="W135" s="91">
        <v>28117.457999999999</v>
      </c>
      <c r="X135" s="91">
        <v>28771.544999999998</v>
      </c>
      <c r="Y135" s="91">
        <v>27224.257000000001</v>
      </c>
      <c r="Z135" s="91">
        <v>27556.823</v>
      </c>
      <c r="AA135" s="91">
        <v>27542.109</v>
      </c>
      <c r="AB135" s="91">
        <v>28417.339</v>
      </c>
      <c r="AC135" s="91">
        <v>28809.008000000002</v>
      </c>
      <c r="AD135" s="91">
        <v>30261.523000000001</v>
      </c>
      <c r="AE135" s="91">
        <v>33299.065999999999</v>
      </c>
      <c r="AF135" s="91">
        <v>33037.322999999997</v>
      </c>
      <c r="AG135" s="91">
        <v>15838.438</v>
      </c>
      <c r="AH135" s="91">
        <v>16295.182000000001</v>
      </c>
      <c r="AI135" s="91">
        <v>26879.726999999999</v>
      </c>
      <c r="AJ135" s="91">
        <v>30248.061000000002</v>
      </c>
      <c r="AK135" s="16">
        <v>30682.29</v>
      </c>
    </row>
    <row r="136" spans="1:37" x14ac:dyDescent="0.25">
      <c r="A136" s="89" t="s">
        <v>147</v>
      </c>
      <c r="B136" s="89" t="s">
        <v>100</v>
      </c>
      <c r="C136" s="90">
        <v>11624</v>
      </c>
      <c r="D136" s="91">
        <v>11931.484</v>
      </c>
      <c r="E136" s="90">
        <v>12389</v>
      </c>
      <c r="F136" s="90">
        <v>12696.2</v>
      </c>
      <c r="G136" s="91">
        <v>14323.885</v>
      </c>
      <c r="H136" s="90">
        <v>14055.6</v>
      </c>
      <c r="I136" s="90">
        <v>15174.2</v>
      </c>
      <c r="J136" s="90">
        <v>15858.8</v>
      </c>
      <c r="K136" s="90">
        <v>17379</v>
      </c>
      <c r="L136" s="90">
        <v>16939</v>
      </c>
      <c r="M136" s="90">
        <v>16621</v>
      </c>
      <c r="N136" s="90">
        <v>19566</v>
      </c>
      <c r="O136" s="90">
        <v>25051</v>
      </c>
      <c r="P136" s="90">
        <v>24600.6</v>
      </c>
      <c r="Q136" s="90">
        <v>25560.3</v>
      </c>
      <c r="R136" s="91">
        <v>21086.296999999999</v>
      </c>
      <c r="S136" s="90">
        <v>21380.05</v>
      </c>
      <c r="T136" s="91">
        <v>22987.723000000002</v>
      </c>
      <c r="U136" s="90">
        <v>23812.36</v>
      </c>
      <c r="V136" s="91">
        <v>21222.718000000001</v>
      </c>
      <c r="W136" s="91">
        <v>24914.697</v>
      </c>
      <c r="X136" s="91">
        <v>20643.037</v>
      </c>
      <c r="Y136" s="91">
        <v>22048.692999999999</v>
      </c>
      <c r="Z136" s="91">
        <v>19407.537</v>
      </c>
      <c r="AA136" s="90">
        <v>19100.91</v>
      </c>
      <c r="AB136" s="91">
        <v>20313.302</v>
      </c>
      <c r="AC136" s="91">
        <v>21626.399000000001</v>
      </c>
      <c r="AD136" s="91">
        <v>20784.062000000002</v>
      </c>
      <c r="AE136" s="91">
        <v>17527.307000000001</v>
      </c>
      <c r="AF136" s="91">
        <v>20612.488000000001</v>
      </c>
      <c r="AG136" s="91">
        <v>21566.475999999999</v>
      </c>
      <c r="AH136" s="91">
        <v>21693.267</v>
      </c>
      <c r="AI136" s="90">
        <v>22621.29</v>
      </c>
      <c r="AJ136" s="91">
        <v>20783.332999999999</v>
      </c>
      <c r="AK136" s="16">
        <v>21913.74</v>
      </c>
    </row>
    <row r="137" spans="1:37" x14ac:dyDescent="0.25">
      <c r="A137" s="89" t="s">
        <v>124</v>
      </c>
      <c r="B137" s="89" t="s">
        <v>100</v>
      </c>
      <c r="C137" s="93">
        <v>17010</v>
      </c>
      <c r="D137" s="93">
        <v>16155</v>
      </c>
      <c r="E137" s="93">
        <v>16467</v>
      </c>
      <c r="F137" s="93">
        <v>16978</v>
      </c>
      <c r="G137" s="93">
        <v>17590</v>
      </c>
      <c r="H137" s="93">
        <v>17133</v>
      </c>
      <c r="I137" s="93">
        <v>17030.7</v>
      </c>
      <c r="J137" s="93">
        <v>17111.400000000001</v>
      </c>
      <c r="K137" s="93">
        <v>17520</v>
      </c>
      <c r="L137" s="93">
        <v>16561</v>
      </c>
      <c r="M137" s="93">
        <v>17273</v>
      </c>
      <c r="N137" s="93">
        <v>17498</v>
      </c>
      <c r="O137" s="93">
        <v>17522</v>
      </c>
      <c r="P137" s="93">
        <v>18602</v>
      </c>
      <c r="Q137" s="93">
        <v>19354</v>
      </c>
      <c r="R137" s="93">
        <v>19651.48</v>
      </c>
      <c r="S137" s="92">
        <v>20235.281999999999</v>
      </c>
      <c r="T137" s="92">
        <v>20802.922999999999</v>
      </c>
      <c r="U137" s="92">
        <v>20331.311000000002</v>
      </c>
      <c r="V137" s="92">
        <v>19105.916000000001</v>
      </c>
      <c r="W137" s="92">
        <v>18915.866999999998</v>
      </c>
      <c r="X137" s="92">
        <v>18954.661</v>
      </c>
      <c r="Y137" s="93">
        <v>18317</v>
      </c>
      <c r="Z137" s="92">
        <v>17413.623</v>
      </c>
      <c r="AA137" s="92">
        <v>17388.766</v>
      </c>
      <c r="AB137" s="92">
        <v>19169.374</v>
      </c>
      <c r="AC137" s="92">
        <v>18877.381000000001</v>
      </c>
      <c r="AD137" s="92">
        <v>19055.037</v>
      </c>
      <c r="AE137" s="92">
        <v>18654.155999999999</v>
      </c>
      <c r="AF137" s="93">
        <v>18563.830000000002</v>
      </c>
      <c r="AG137" s="92">
        <v>16530.993999999999</v>
      </c>
      <c r="AH137" s="92">
        <v>17187.914000000001</v>
      </c>
      <c r="AI137" s="92">
        <v>19118.067999999999</v>
      </c>
      <c r="AJ137" s="92">
        <v>18311.18</v>
      </c>
      <c r="AK137" s="16">
        <v>17526.844000000001</v>
      </c>
    </row>
    <row r="138" spans="1:37" x14ac:dyDescent="0.25">
      <c r="A138" s="89" t="s">
        <v>146</v>
      </c>
      <c r="B138" s="89" t="s">
        <v>100</v>
      </c>
      <c r="C138" s="93">
        <v>17634</v>
      </c>
      <c r="D138" s="93">
        <v>17750</v>
      </c>
      <c r="E138" s="93">
        <v>17471.7</v>
      </c>
      <c r="F138" s="93">
        <v>16482</v>
      </c>
      <c r="G138" s="93">
        <v>17681</v>
      </c>
      <c r="H138" s="93">
        <v>16809</v>
      </c>
      <c r="I138" s="93">
        <v>16549.8</v>
      </c>
      <c r="J138" s="93">
        <v>17502.3</v>
      </c>
      <c r="K138" s="93">
        <v>18182</v>
      </c>
      <c r="L138" s="93">
        <v>19044</v>
      </c>
      <c r="M138" s="93">
        <v>18580</v>
      </c>
      <c r="N138" s="93">
        <v>17823</v>
      </c>
      <c r="O138" s="93">
        <v>18003</v>
      </c>
      <c r="P138" s="93">
        <v>17928</v>
      </c>
      <c r="Q138" s="93">
        <v>19522</v>
      </c>
      <c r="R138" s="92">
        <v>20091.093000000001</v>
      </c>
      <c r="S138" s="92">
        <v>21193.548999999999</v>
      </c>
      <c r="T138" s="92">
        <v>20990.873</v>
      </c>
      <c r="U138" s="92">
        <v>20622.181</v>
      </c>
      <c r="V138" s="92">
        <v>20389.214</v>
      </c>
      <c r="W138" s="92">
        <v>19264.322</v>
      </c>
      <c r="X138" s="92">
        <v>18643.776000000002</v>
      </c>
      <c r="Y138" s="93">
        <v>15867.92</v>
      </c>
      <c r="Z138" s="92">
        <v>16342.317999999999</v>
      </c>
      <c r="AA138" s="92">
        <v>15972.281000000001</v>
      </c>
      <c r="AB138" s="92">
        <v>18046.981</v>
      </c>
      <c r="AC138" s="92">
        <v>17321.167000000001</v>
      </c>
      <c r="AD138" s="92">
        <v>17385.087</v>
      </c>
      <c r="AE138" s="92">
        <v>17144.879000000001</v>
      </c>
      <c r="AF138" s="92">
        <v>17392.793000000001</v>
      </c>
      <c r="AG138" s="92">
        <v>17362.280999999999</v>
      </c>
      <c r="AH138" s="92">
        <v>17068.392</v>
      </c>
      <c r="AI138" s="92">
        <v>15162.561</v>
      </c>
      <c r="AJ138" s="92">
        <v>15246.234</v>
      </c>
      <c r="AK138" s="16">
        <v>12725.65</v>
      </c>
    </row>
    <row r="139" spans="1:37" x14ac:dyDescent="0.25">
      <c r="A139" s="89" t="s">
        <v>126</v>
      </c>
      <c r="B139" s="89" t="s">
        <v>100</v>
      </c>
      <c r="C139" s="93">
        <v>13286</v>
      </c>
      <c r="D139" s="93">
        <v>13428.2</v>
      </c>
      <c r="E139" s="93">
        <v>13489.4</v>
      </c>
      <c r="F139" s="93">
        <v>14051</v>
      </c>
      <c r="G139" s="93">
        <v>14915</v>
      </c>
      <c r="H139" s="93">
        <v>14615</v>
      </c>
      <c r="I139" s="93">
        <v>14580.3</v>
      </c>
      <c r="J139" s="93">
        <v>14752.5</v>
      </c>
      <c r="K139" s="93">
        <v>14630.8</v>
      </c>
      <c r="L139" s="93">
        <v>14065</v>
      </c>
      <c r="M139" s="93">
        <v>15459</v>
      </c>
      <c r="N139" s="93">
        <v>15818</v>
      </c>
      <c r="O139" s="93">
        <v>14716.5</v>
      </c>
      <c r="P139" s="93">
        <v>15219</v>
      </c>
      <c r="Q139" s="93">
        <v>15163.6</v>
      </c>
      <c r="R139" s="92">
        <v>15484.384</v>
      </c>
      <c r="S139" s="92">
        <v>15404.593000000001</v>
      </c>
      <c r="T139" s="92">
        <v>15280.138000000001</v>
      </c>
      <c r="U139" s="93">
        <v>15567.64</v>
      </c>
      <c r="V139" s="92">
        <v>14575.468000000001</v>
      </c>
      <c r="W139" s="92">
        <v>13985.162</v>
      </c>
      <c r="X139" s="92">
        <v>13956.299000000001</v>
      </c>
      <c r="Y139" s="92">
        <v>13323.795</v>
      </c>
      <c r="Z139" s="92">
        <v>13480.737999999999</v>
      </c>
      <c r="AA139" s="92">
        <v>13371.111999999999</v>
      </c>
      <c r="AB139" s="92">
        <v>13875.665999999999</v>
      </c>
      <c r="AC139" s="92">
        <v>13866.955</v>
      </c>
      <c r="AD139" s="92">
        <v>14629.341</v>
      </c>
      <c r="AE139" s="92">
        <v>14123.824000000001</v>
      </c>
      <c r="AF139" s="92">
        <v>14286.621999999999</v>
      </c>
      <c r="AG139" s="92">
        <v>12480.968000000001</v>
      </c>
      <c r="AH139" s="92">
        <v>13675.874</v>
      </c>
      <c r="AI139" s="92">
        <v>12341.460999999999</v>
      </c>
      <c r="AJ139" s="93">
        <v>12366.275</v>
      </c>
      <c r="AK139" s="16">
        <v>12472.608</v>
      </c>
    </row>
    <row r="140" spans="1:37" x14ac:dyDescent="0.25">
      <c r="A140" s="89" t="s">
        <v>145</v>
      </c>
      <c r="B140" s="89" t="s">
        <v>100</v>
      </c>
      <c r="C140" s="90">
        <v>4877</v>
      </c>
      <c r="D140" s="90">
        <v>5348</v>
      </c>
      <c r="E140" s="90">
        <v>5317</v>
      </c>
      <c r="F140" s="90">
        <v>5333</v>
      </c>
      <c r="G140" s="90">
        <v>5580</v>
      </c>
      <c r="H140" s="90">
        <v>5570</v>
      </c>
      <c r="I140" s="90">
        <v>5647.4</v>
      </c>
      <c r="J140" s="90">
        <v>6215.4</v>
      </c>
      <c r="K140" s="90">
        <v>6538</v>
      </c>
      <c r="L140" s="90">
        <v>6457</v>
      </c>
      <c r="M140" s="90">
        <v>7346.5</v>
      </c>
      <c r="N140" s="90">
        <v>7127</v>
      </c>
      <c r="O140" s="90">
        <v>6985</v>
      </c>
      <c r="P140" s="90">
        <v>6538</v>
      </c>
      <c r="Q140" s="90">
        <v>7310</v>
      </c>
      <c r="R140" s="91">
        <v>7814.0060000000003</v>
      </c>
      <c r="S140" s="91">
        <v>7849.4709999999995</v>
      </c>
      <c r="T140" s="91">
        <v>7820.3410000000003</v>
      </c>
      <c r="U140" s="91">
        <v>8096.7529999999997</v>
      </c>
      <c r="V140" s="91">
        <v>7570.5309999999999</v>
      </c>
      <c r="W140" s="91">
        <v>7862.1660000000002</v>
      </c>
      <c r="X140" s="91">
        <v>8226.8410000000003</v>
      </c>
      <c r="Y140" s="91">
        <v>9517.4580000000005</v>
      </c>
      <c r="Z140" s="90">
        <v>9834.83</v>
      </c>
      <c r="AA140" s="91">
        <v>9745.6170000000002</v>
      </c>
      <c r="AB140" s="91">
        <v>10518.333000000001</v>
      </c>
      <c r="AC140" s="91">
        <v>10239.455</v>
      </c>
      <c r="AD140" s="91">
        <v>10333.424000000001</v>
      </c>
      <c r="AE140" s="90">
        <v>9937.7800000000007</v>
      </c>
      <c r="AF140" s="91">
        <v>10283.297</v>
      </c>
      <c r="AG140" s="91">
        <v>9764.5779999999995</v>
      </c>
      <c r="AH140" s="90">
        <v>9541.77</v>
      </c>
      <c r="AI140" s="91">
        <v>10391.716</v>
      </c>
      <c r="AJ140" s="91">
        <v>10198.087</v>
      </c>
      <c r="AK140" s="16">
        <v>10438.137000000001</v>
      </c>
    </row>
    <row r="141" spans="1:37" x14ac:dyDescent="0.25">
      <c r="A141" s="89" t="s">
        <v>134</v>
      </c>
      <c r="B141" s="89" t="s">
        <v>100</v>
      </c>
      <c r="C141" s="93">
        <v>4086</v>
      </c>
      <c r="D141" s="93">
        <v>3788</v>
      </c>
      <c r="E141" s="93">
        <v>3338</v>
      </c>
      <c r="F141" s="93">
        <v>2724</v>
      </c>
      <c r="G141" s="93">
        <v>2812</v>
      </c>
      <c r="H141" s="93">
        <v>2358</v>
      </c>
      <c r="I141" s="93">
        <v>2121.5</v>
      </c>
      <c r="J141" s="93">
        <v>2575</v>
      </c>
      <c r="K141" s="93">
        <v>2584</v>
      </c>
      <c r="L141" s="93">
        <v>1284</v>
      </c>
      <c r="M141" s="93">
        <v>1416</v>
      </c>
      <c r="N141" s="93">
        <v>1457</v>
      </c>
      <c r="O141" s="93">
        <v>1389</v>
      </c>
      <c r="P141" s="93">
        <v>2873</v>
      </c>
      <c r="Q141" s="93">
        <v>5027</v>
      </c>
      <c r="R141" s="92">
        <v>4863.9030000000002</v>
      </c>
      <c r="S141" s="92">
        <v>4938.5219999999999</v>
      </c>
      <c r="T141" s="93">
        <v>5023.0600000000004</v>
      </c>
      <c r="U141" s="92">
        <v>4847.0540000000001</v>
      </c>
      <c r="V141" s="92">
        <v>5452.5159999999996</v>
      </c>
      <c r="W141" s="92">
        <v>6288.5550000000003</v>
      </c>
      <c r="X141" s="92">
        <v>7597.4870000000001</v>
      </c>
      <c r="Y141" s="92">
        <v>9839.8670000000002</v>
      </c>
      <c r="Z141" s="92">
        <v>9443.1380000000008</v>
      </c>
      <c r="AA141" s="92">
        <v>9885.9390000000003</v>
      </c>
      <c r="AB141" s="93">
        <v>10565.87</v>
      </c>
      <c r="AC141" s="92">
        <v>10070.968999999999</v>
      </c>
      <c r="AD141" s="92">
        <v>10398.885</v>
      </c>
      <c r="AE141" s="92">
        <v>11242.348</v>
      </c>
      <c r="AF141" s="92">
        <v>10942.914000000001</v>
      </c>
      <c r="AG141" s="92">
        <v>8749.3940000000002</v>
      </c>
      <c r="AH141" s="92">
        <v>9318.7270000000008</v>
      </c>
      <c r="AI141" s="92">
        <v>10413.656999999999</v>
      </c>
      <c r="AJ141" s="92">
        <v>10609.934999999999</v>
      </c>
      <c r="AK141" s="16">
        <v>10754.861999999999</v>
      </c>
    </row>
    <row r="142" spans="1:37" x14ac:dyDescent="0.25">
      <c r="A142" s="89" t="s">
        <v>143</v>
      </c>
      <c r="B142" s="89" t="s">
        <v>100</v>
      </c>
      <c r="C142" s="90">
        <v>7622.9</v>
      </c>
      <c r="D142" s="90">
        <v>6989.1</v>
      </c>
      <c r="E142" s="90">
        <v>7005.7</v>
      </c>
      <c r="F142" s="90">
        <v>6860.7</v>
      </c>
      <c r="G142" s="90">
        <v>7235</v>
      </c>
      <c r="H142" s="90">
        <v>7659.4</v>
      </c>
      <c r="I142" s="90">
        <v>7508.5</v>
      </c>
      <c r="J142" s="90">
        <v>7160</v>
      </c>
      <c r="K142" s="90">
        <v>7475.2</v>
      </c>
      <c r="L142" s="90">
        <v>7208</v>
      </c>
      <c r="M142" s="90">
        <v>7361</v>
      </c>
      <c r="N142" s="90">
        <v>7165</v>
      </c>
      <c r="O142" s="90">
        <v>7226</v>
      </c>
      <c r="P142" s="90">
        <v>7157</v>
      </c>
      <c r="Q142" s="90">
        <v>8162</v>
      </c>
      <c r="R142" s="91">
        <v>7832.6040000000003</v>
      </c>
      <c r="S142" s="91">
        <v>7804.5739999999996</v>
      </c>
      <c r="T142" s="91">
        <v>7898.1379999999999</v>
      </c>
      <c r="U142" s="91">
        <v>8014.7449999999999</v>
      </c>
      <c r="V142" s="91">
        <v>7333.317</v>
      </c>
      <c r="W142" s="91">
        <v>8048.9849999999997</v>
      </c>
      <c r="X142" s="91">
        <v>7877.549</v>
      </c>
      <c r="Y142" s="91">
        <v>7337.5969999999998</v>
      </c>
      <c r="Z142" s="91">
        <v>7169.9170000000004</v>
      </c>
      <c r="AA142" s="91">
        <v>7703.0110000000004</v>
      </c>
      <c r="AB142" s="91">
        <v>7242.7650000000003</v>
      </c>
      <c r="AC142" s="91">
        <v>6736.2030000000004</v>
      </c>
      <c r="AD142" s="91">
        <v>6986.6210000000001</v>
      </c>
      <c r="AE142" s="91">
        <v>6632.8829999999998</v>
      </c>
      <c r="AF142" s="91">
        <v>6183.3530000000001</v>
      </c>
      <c r="AG142" s="91">
        <v>6414.232</v>
      </c>
      <c r="AH142" s="91">
        <v>7279.4250000000002</v>
      </c>
      <c r="AI142" s="91">
        <v>5799.2550000000001</v>
      </c>
      <c r="AJ142" s="91">
        <v>5523.9639999999999</v>
      </c>
      <c r="AK142" s="16">
        <v>5250.3140000000003</v>
      </c>
    </row>
    <row r="143" spans="1:37" x14ac:dyDescent="0.25">
      <c r="A143" s="89" t="s">
        <v>142</v>
      </c>
      <c r="B143" s="89" t="s">
        <v>100</v>
      </c>
      <c r="C143" s="93">
        <v>1748.7</v>
      </c>
      <c r="D143" s="93">
        <v>1525.3</v>
      </c>
      <c r="E143" s="93">
        <v>1112.8</v>
      </c>
      <c r="F143" s="93">
        <v>1517</v>
      </c>
      <c r="G143" s="93">
        <v>1603.8</v>
      </c>
      <c r="H143" s="93">
        <v>1301.7</v>
      </c>
      <c r="I143" s="93">
        <v>1168.0999999999999</v>
      </c>
      <c r="J143" s="93">
        <v>1450.5</v>
      </c>
      <c r="K143" s="93">
        <v>1319.1</v>
      </c>
      <c r="L143" s="93">
        <v>1239.0999999999999</v>
      </c>
      <c r="M143" s="93">
        <v>1097</v>
      </c>
      <c r="N143" s="93">
        <v>892.1</v>
      </c>
      <c r="O143" s="93">
        <v>883.1</v>
      </c>
      <c r="P143" s="93">
        <v>893</v>
      </c>
      <c r="Q143" s="93">
        <v>768</v>
      </c>
      <c r="R143" s="93">
        <v>848</v>
      </c>
      <c r="S143" s="93">
        <v>808</v>
      </c>
      <c r="T143" s="92">
        <v>927.00099999999998</v>
      </c>
      <c r="U143" s="92">
        <v>970.81899999999996</v>
      </c>
      <c r="V143" s="92">
        <v>780.77800000000002</v>
      </c>
      <c r="W143" s="92">
        <v>944.94299999999998</v>
      </c>
      <c r="X143" s="92">
        <v>1012.3630000000001</v>
      </c>
      <c r="Y143" s="93">
        <v>941</v>
      </c>
      <c r="Z143" s="93">
        <v>721</v>
      </c>
      <c r="AA143" s="93">
        <v>782</v>
      </c>
      <c r="AB143" s="92">
        <v>883.25199999999995</v>
      </c>
      <c r="AC143" s="92">
        <v>1051.106</v>
      </c>
      <c r="AD143" s="92">
        <v>1084.7159999999999</v>
      </c>
      <c r="AE143" s="92">
        <v>1041.3779999999999</v>
      </c>
      <c r="AF143" s="92">
        <v>1195.42</v>
      </c>
      <c r="AG143" s="92">
        <v>1607.4739999999999</v>
      </c>
      <c r="AH143" s="92">
        <v>1604.511</v>
      </c>
      <c r="AI143" s="92">
        <v>1874.0039999999999</v>
      </c>
      <c r="AJ143" s="92">
        <v>1859.28</v>
      </c>
      <c r="AK143" s="16">
        <v>1396.8810000000001</v>
      </c>
    </row>
    <row r="144" spans="1:37" x14ac:dyDescent="0.25">
      <c r="A144" s="89" t="s">
        <v>144</v>
      </c>
      <c r="B144" s="89" t="s">
        <v>100</v>
      </c>
      <c r="C144" s="93">
        <v>708</v>
      </c>
      <c r="D144" s="93">
        <v>636.20000000000005</v>
      </c>
      <c r="E144" s="93">
        <v>632.5</v>
      </c>
      <c r="F144" s="93">
        <v>595.6</v>
      </c>
      <c r="G144" s="93">
        <v>610.79999999999995</v>
      </c>
      <c r="H144" s="93">
        <v>729.9</v>
      </c>
      <c r="I144" s="93">
        <v>962</v>
      </c>
      <c r="J144" s="93">
        <v>835.2</v>
      </c>
      <c r="K144" s="93">
        <v>957.3</v>
      </c>
      <c r="L144" s="93">
        <v>1102</v>
      </c>
      <c r="M144" s="93">
        <v>1188</v>
      </c>
      <c r="N144" s="93">
        <v>1101</v>
      </c>
      <c r="O144" s="93">
        <v>820</v>
      </c>
      <c r="P144" s="93">
        <v>749</v>
      </c>
      <c r="Q144" s="93">
        <v>854</v>
      </c>
      <c r="R144" s="93">
        <v>807</v>
      </c>
      <c r="S144" s="93">
        <v>829</v>
      </c>
      <c r="T144" s="93">
        <v>982</v>
      </c>
      <c r="U144" s="93">
        <v>822</v>
      </c>
      <c r="V144" s="93">
        <v>688</v>
      </c>
      <c r="W144" s="93">
        <v>1008</v>
      </c>
      <c r="X144" s="93">
        <v>943</v>
      </c>
      <c r="Y144" s="93">
        <v>796</v>
      </c>
      <c r="Z144" s="93">
        <v>880</v>
      </c>
      <c r="AA144" s="93">
        <v>1007</v>
      </c>
      <c r="AB144" s="92">
        <v>667.40599999999995</v>
      </c>
      <c r="AC144" s="92">
        <v>542.33199999999999</v>
      </c>
      <c r="AD144" s="92">
        <v>642.78800000000001</v>
      </c>
      <c r="AE144" s="93">
        <v>795.93</v>
      </c>
      <c r="AF144" s="92">
        <v>718.14400000000001</v>
      </c>
      <c r="AG144" s="92">
        <v>705.38800000000003</v>
      </c>
      <c r="AH144" s="92">
        <v>874.60199999999998</v>
      </c>
      <c r="AI144" s="92">
        <v>544.02200000000005</v>
      </c>
      <c r="AJ144" s="92">
        <v>568.16700000000003</v>
      </c>
      <c r="AK144" s="16">
        <v>240.34</v>
      </c>
    </row>
    <row r="145" spans="1:37" x14ac:dyDescent="0.25">
      <c r="A145" s="89" t="s">
        <v>128</v>
      </c>
      <c r="B145" s="89" t="s">
        <v>100</v>
      </c>
      <c r="C145" s="93">
        <v>269</v>
      </c>
      <c r="D145" s="93">
        <v>198</v>
      </c>
      <c r="E145" s="93">
        <v>139</v>
      </c>
      <c r="F145" s="93">
        <v>118</v>
      </c>
      <c r="G145" s="93">
        <v>201</v>
      </c>
      <c r="H145" s="93">
        <v>169</v>
      </c>
      <c r="I145" s="93">
        <v>168</v>
      </c>
      <c r="J145" s="93">
        <v>163</v>
      </c>
      <c r="K145" s="93">
        <v>178</v>
      </c>
      <c r="L145" s="93">
        <v>161</v>
      </c>
      <c r="M145" s="93">
        <v>213</v>
      </c>
      <c r="N145" s="93">
        <v>149</v>
      </c>
      <c r="O145" s="93">
        <v>117</v>
      </c>
      <c r="P145" s="93">
        <v>152</v>
      </c>
      <c r="Q145" s="93">
        <v>135</v>
      </c>
      <c r="R145" s="93">
        <v>107</v>
      </c>
      <c r="S145" s="93">
        <v>91</v>
      </c>
      <c r="T145" s="93">
        <v>150</v>
      </c>
      <c r="U145" s="92">
        <v>146.28299999999999</v>
      </c>
      <c r="V145" s="92">
        <v>123.354</v>
      </c>
      <c r="W145" s="92">
        <v>115.386</v>
      </c>
      <c r="X145" s="93">
        <v>116.38</v>
      </c>
      <c r="Y145" s="92">
        <v>109.425</v>
      </c>
      <c r="Z145" s="92">
        <v>99.423000000000002</v>
      </c>
      <c r="AA145" s="92">
        <v>121.456</v>
      </c>
      <c r="AB145" s="92">
        <v>120.25700000000001</v>
      </c>
      <c r="AC145" s="92">
        <v>116.88500000000001</v>
      </c>
      <c r="AD145" s="92">
        <v>95.096000000000004</v>
      </c>
      <c r="AE145" s="92">
        <v>78.992999999999995</v>
      </c>
      <c r="AF145" s="92">
        <v>93.378</v>
      </c>
      <c r="AG145" s="92">
        <v>103.264</v>
      </c>
      <c r="AH145" s="92">
        <v>125.27500000000001</v>
      </c>
      <c r="AI145" s="92">
        <v>103.249</v>
      </c>
      <c r="AJ145" s="92">
        <v>90.896000000000001</v>
      </c>
      <c r="AK145" s="16">
        <v>103.64400000000001</v>
      </c>
    </row>
    <row r="146" spans="1:37" x14ac:dyDescent="0.25">
      <c r="A146" s="89" t="s">
        <v>150</v>
      </c>
      <c r="B146" s="89" t="s">
        <v>100</v>
      </c>
      <c r="C146" s="93">
        <v>0</v>
      </c>
      <c r="D146" s="93">
        <v>0</v>
      </c>
      <c r="E146" s="93">
        <v>0</v>
      </c>
      <c r="F146" s="93">
        <v>0</v>
      </c>
      <c r="G146" s="93">
        <v>0</v>
      </c>
      <c r="H146" s="93">
        <v>0</v>
      </c>
      <c r="I146" s="93">
        <v>0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3">
        <v>0</v>
      </c>
      <c r="U146" s="93">
        <v>0</v>
      </c>
      <c r="V146" s="93">
        <v>0</v>
      </c>
      <c r="W146" s="93">
        <v>0</v>
      </c>
      <c r="X146" s="93">
        <v>0</v>
      </c>
      <c r="Y146" s="93">
        <v>0</v>
      </c>
      <c r="Z146" s="93">
        <v>0</v>
      </c>
      <c r="AA146" s="93">
        <v>0</v>
      </c>
      <c r="AB146" s="93">
        <v>0</v>
      </c>
      <c r="AC146" s="93">
        <v>0</v>
      </c>
      <c r="AD146" s="93">
        <v>0</v>
      </c>
      <c r="AE146" s="93">
        <v>0</v>
      </c>
      <c r="AF146" s="93">
        <v>0</v>
      </c>
      <c r="AG146" s="93">
        <v>0</v>
      </c>
      <c r="AH146" s="93">
        <v>0</v>
      </c>
      <c r="AI146" s="93">
        <v>0</v>
      </c>
      <c r="AJ146" s="93">
        <v>0</v>
      </c>
      <c r="AK146" s="16">
        <v>0</v>
      </c>
    </row>
    <row r="147" spans="1:37" x14ac:dyDescent="0.25">
      <c r="A147" s="89" t="s">
        <v>125</v>
      </c>
      <c r="B147" s="89" t="s">
        <v>100</v>
      </c>
      <c r="C147" s="90">
        <v>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22</v>
      </c>
      <c r="O147" s="90">
        <v>19</v>
      </c>
      <c r="P147" s="90">
        <v>19</v>
      </c>
      <c r="Q147" s="90">
        <v>19</v>
      </c>
      <c r="R147" s="90">
        <v>18</v>
      </c>
      <c r="S147" s="90">
        <v>18</v>
      </c>
      <c r="T147" s="90">
        <v>19</v>
      </c>
      <c r="U147" s="90">
        <v>32</v>
      </c>
      <c r="V147" s="90">
        <v>29</v>
      </c>
      <c r="W147" s="90">
        <v>37</v>
      </c>
      <c r="X147" s="90">
        <v>41</v>
      </c>
      <c r="Y147" s="90">
        <v>23</v>
      </c>
      <c r="Z147" s="90">
        <v>35</v>
      </c>
      <c r="AA147" s="90">
        <v>34</v>
      </c>
      <c r="AB147" s="90">
        <v>37</v>
      </c>
      <c r="AC147" s="90">
        <v>9</v>
      </c>
      <c r="AD147" s="90">
        <v>20</v>
      </c>
      <c r="AE147" s="90">
        <v>7</v>
      </c>
      <c r="AF147" s="90">
        <v>8.8699999999999992</v>
      </c>
      <c r="AG147" s="91">
        <v>8.1120000000000001</v>
      </c>
      <c r="AH147" s="91">
        <v>2.4990000000000001</v>
      </c>
      <c r="AI147" s="91">
        <v>0.129</v>
      </c>
      <c r="AJ147" s="90">
        <v>6.0369999999999999</v>
      </c>
      <c r="AK147" s="16">
        <v>2.903</v>
      </c>
    </row>
    <row r="148" spans="1:37" x14ac:dyDescent="0.25">
      <c r="A148" s="89" t="s">
        <v>131</v>
      </c>
      <c r="B148" s="89" t="s">
        <v>100</v>
      </c>
      <c r="C148" s="90">
        <v>1126</v>
      </c>
      <c r="D148" s="90">
        <v>1032</v>
      </c>
      <c r="E148" s="90">
        <v>598</v>
      </c>
      <c r="F148" s="90">
        <v>418</v>
      </c>
      <c r="G148" s="90">
        <v>435</v>
      </c>
      <c r="H148" s="90">
        <v>697</v>
      </c>
      <c r="I148" s="90">
        <v>357</v>
      </c>
      <c r="J148" s="90">
        <v>313</v>
      </c>
      <c r="K148" s="90">
        <v>240</v>
      </c>
      <c r="L148" s="90">
        <v>353</v>
      </c>
      <c r="M148" s="90">
        <v>169</v>
      </c>
      <c r="N148" s="90">
        <v>99</v>
      </c>
      <c r="O148" s="90">
        <v>21</v>
      </c>
      <c r="P148" s="90">
        <v>19</v>
      </c>
      <c r="Q148" s="90">
        <v>19</v>
      </c>
      <c r="R148" s="90">
        <v>16</v>
      </c>
      <c r="S148" s="90">
        <v>13</v>
      </c>
      <c r="T148" s="90">
        <v>2</v>
      </c>
      <c r="U148" s="90">
        <v>2</v>
      </c>
      <c r="V148" s="90">
        <v>0</v>
      </c>
      <c r="W148" s="90">
        <v>0</v>
      </c>
      <c r="X148" s="90">
        <v>0</v>
      </c>
      <c r="Y148" s="90">
        <v>0</v>
      </c>
      <c r="Z148" s="90">
        <v>0</v>
      </c>
      <c r="AA148" s="90">
        <v>0</v>
      </c>
      <c r="AB148" s="90">
        <v>0</v>
      </c>
      <c r="AC148" s="90">
        <v>0</v>
      </c>
      <c r="AD148" s="90">
        <v>0</v>
      </c>
      <c r="AE148" s="90">
        <v>0</v>
      </c>
      <c r="AF148" s="90">
        <v>0</v>
      </c>
      <c r="AG148" s="90">
        <v>0</v>
      </c>
      <c r="AH148" s="90">
        <v>0</v>
      </c>
      <c r="AI148" s="90">
        <v>0</v>
      </c>
      <c r="AJ148" s="90">
        <v>0</v>
      </c>
      <c r="AK148" s="16">
        <v>0</v>
      </c>
    </row>
    <row r="149" spans="1:37" x14ac:dyDescent="0.25">
      <c r="A149" s="89" t="s">
        <v>148</v>
      </c>
      <c r="B149" s="89" t="s">
        <v>100</v>
      </c>
      <c r="C149" s="93">
        <v>0</v>
      </c>
      <c r="D149" s="93">
        <v>0</v>
      </c>
      <c r="E149" s="93">
        <v>0</v>
      </c>
      <c r="F149" s="93">
        <v>0</v>
      </c>
      <c r="G149" s="93">
        <v>0</v>
      </c>
      <c r="H149" s="93">
        <v>0</v>
      </c>
      <c r="I149" s="93">
        <v>0</v>
      </c>
      <c r="J149" s="93">
        <v>0</v>
      </c>
      <c r="K149" s="93">
        <v>0</v>
      </c>
      <c r="L149" s="93">
        <v>0</v>
      </c>
      <c r="M149" s="93">
        <v>0</v>
      </c>
      <c r="N149" s="93">
        <v>50</v>
      </c>
      <c r="O149" s="93">
        <v>50</v>
      </c>
      <c r="P149" s="93">
        <v>0</v>
      </c>
      <c r="Q149" s="93">
        <v>0</v>
      </c>
      <c r="R149" s="93">
        <v>4</v>
      </c>
      <c r="S149" s="93">
        <v>23</v>
      </c>
      <c r="T149" s="93">
        <v>53</v>
      </c>
      <c r="U149" s="93">
        <v>85</v>
      </c>
      <c r="V149" s="93">
        <v>77</v>
      </c>
      <c r="W149" s="93">
        <v>73</v>
      </c>
      <c r="X149" s="93">
        <v>74</v>
      </c>
      <c r="Y149" s="93">
        <v>0</v>
      </c>
      <c r="Z149" s="93">
        <v>0</v>
      </c>
      <c r="AA149" s="93">
        <v>0</v>
      </c>
      <c r="AB149" s="93">
        <v>0</v>
      </c>
      <c r="AC149" s="93">
        <v>0</v>
      </c>
      <c r="AD149" s="93">
        <v>0</v>
      </c>
      <c r="AE149" s="93">
        <v>0</v>
      </c>
      <c r="AF149" s="93">
        <v>0</v>
      </c>
      <c r="AG149" s="93">
        <v>0</v>
      </c>
      <c r="AH149" s="93">
        <v>0</v>
      </c>
      <c r="AI149" s="93">
        <v>0</v>
      </c>
      <c r="AJ149" s="93">
        <v>0</v>
      </c>
      <c r="AK149" s="16">
        <v>0</v>
      </c>
    </row>
    <row r="150" spans="1:37" x14ac:dyDescent="0.25">
      <c r="A150" s="89" t="s">
        <v>149</v>
      </c>
      <c r="B150" s="89" t="s">
        <v>100</v>
      </c>
      <c r="C150" s="90">
        <v>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  <c r="I150" s="90">
        <v>0</v>
      </c>
      <c r="J150" s="90">
        <v>0</v>
      </c>
      <c r="K150" s="90">
        <v>0</v>
      </c>
      <c r="L150" s="90">
        <v>0</v>
      </c>
      <c r="M150" s="90">
        <v>0</v>
      </c>
      <c r="N150" s="90">
        <v>196</v>
      </c>
      <c r="O150" s="90">
        <v>191</v>
      </c>
      <c r="P150" s="90">
        <v>0</v>
      </c>
      <c r="Q150" s="90">
        <v>0</v>
      </c>
      <c r="R150" s="90">
        <v>0</v>
      </c>
      <c r="S150" s="90">
        <v>0</v>
      </c>
      <c r="T150" s="90">
        <v>2</v>
      </c>
      <c r="U150" s="90">
        <v>137</v>
      </c>
      <c r="V150" s="90">
        <v>137</v>
      </c>
      <c r="W150" s="90">
        <v>0</v>
      </c>
      <c r="X150" s="90">
        <v>0</v>
      </c>
      <c r="Y150" s="90">
        <v>0</v>
      </c>
      <c r="Z150" s="90">
        <v>0</v>
      </c>
      <c r="AA150" s="90">
        <v>0</v>
      </c>
      <c r="AB150" s="90">
        <v>0</v>
      </c>
      <c r="AC150" s="90">
        <v>0</v>
      </c>
      <c r="AD150" s="90">
        <v>0</v>
      </c>
      <c r="AE150" s="90">
        <v>0</v>
      </c>
      <c r="AF150" s="90">
        <v>0</v>
      </c>
      <c r="AG150" s="90">
        <v>0</v>
      </c>
      <c r="AH150" s="90">
        <v>0</v>
      </c>
      <c r="AI150" s="90">
        <v>0</v>
      </c>
      <c r="AJ150" s="91">
        <v>6.9029999999999996</v>
      </c>
      <c r="AK150" s="16">
        <v>1.2E-2</v>
      </c>
    </row>
    <row r="151" spans="1:37" ht="11.5" customHeight="1" x14ac:dyDescent="0.3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7" ht="13" x14ac:dyDescent="0.25">
      <c r="A152" s="3" t="s">
        <v>69</v>
      </c>
    </row>
    <row r="153" spans="1:37" ht="13" x14ac:dyDescent="0.25">
      <c r="A153" s="3" t="s">
        <v>45</v>
      </c>
      <c r="B153" s="2" t="s">
        <v>70</v>
      </c>
    </row>
    <row r="154" spans="1:37" ht="11.5" customHeight="1" x14ac:dyDescent="0.25"/>
  </sheetData>
  <sortState xmlns:xlrd2="http://schemas.microsoft.com/office/spreadsheetml/2017/richdata2" ref="A112:AH150">
    <sortCondition descending="1" ref="AH150"/>
  </sortState>
  <mergeCells count="3">
    <mergeCell ref="A13:B13"/>
    <mergeCell ref="A55:B55"/>
    <mergeCell ref="A109:B109"/>
  </mergeCells>
  <phoneticPr fontId="4" type="noConversion"/>
  <hyperlinks>
    <hyperlink ref="A1" r:id="rId1" xr:uid="{00000000-0004-0000-0000-000000000000}"/>
    <hyperlink ref="A43" r:id="rId2" xr:uid="{00000000-0004-0000-0000-000001000000}"/>
    <hyperlink ref="A96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K132"/>
  <sheetViews>
    <sheetView topLeftCell="A20" workbookViewId="0">
      <selection activeCell="AB56" sqref="AB56:AK56"/>
    </sheetView>
  </sheetViews>
  <sheetFormatPr defaultColWidth="9.1796875" defaultRowHeight="12.5" x14ac:dyDescent="0.25"/>
  <cols>
    <col min="1" max="1" width="9.1796875" style="16"/>
    <col min="2" max="2" width="30.1796875" style="16" customWidth="1"/>
    <col min="3" max="3" width="11" style="16" bestFit="1" customWidth="1"/>
    <col min="4" max="16384" width="9.1796875" style="16"/>
  </cols>
  <sheetData>
    <row r="1" spans="1:37" x14ac:dyDescent="0.25">
      <c r="A1" s="15" t="s">
        <v>256</v>
      </c>
    </row>
    <row r="2" spans="1:37" x14ac:dyDescent="0.25">
      <c r="A2" s="16" t="s">
        <v>0</v>
      </c>
    </row>
    <row r="5" spans="1:37" ht="14.5" x14ac:dyDescent="0.35">
      <c r="A5" s="100" t="s">
        <v>288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37" ht="14.5" x14ac:dyDescent="0.35">
      <c r="A6" s="100" t="s">
        <v>1</v>
      </c>
      <c r="B6" s="101" t="s">
        <v>283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 spans="1:37" ht="14.5" x14ac:dyDescent="0.35">
      <c r="A7" s="100" t="s">
        <v>2</v>
      </c>
      <c r="B7" s="100" t="s">
        <v>284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 spans="1:37" ht="14.5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 spans="1:37" ht="14.5" x14ac:dyDescent="0.35">
      <c r="A9" s="101" t="s">
        <v>3</v>
      </c>
      <c r="B9"/>
      <c r="C9" s="100" t="s">
        <v>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 spans="1:37" ht="14.5" x14ac:dyDescent="0.35">
      <c r="A10" s="101" t="s">
        <v>5</v>
      </c>
      <c r="B10"/>
      <c r="C10" s="100" t="s">
        <v>6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14.5" x14ac:dyDescent="0.35">
      <c r="A11" s="101" t="s">
        <v>7</v>
      </c>
      <c r="B11"/>
      <c r="C11" s="100" t="s">
        <v>8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 spans="1:37" ht="14.5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 spans="1:37" x14ac:dyDescent="0.25">
      <c r="A13" s="116" t="s">
        <v>9</v>
      </c>
      <c r="B13" s="116" t="s">
        <v>9</v>
      </c>
      <c r="C13" s="102" t="s">
        <v>10</v>
      </c>
      <c r="D13" s="102" t="s">
        <v>11</v>
      </c>
      <c r="E13" s="102" t="s">
        <v>12</v>
      </c>
      <c r="F13" s="102" t="s">
        <v>13</v>
      </c>
      <c r="G13" s="102" t="s">
        <v>14</v>
      </c>
      <c r="H13" s="102" t="s">
        <v>15</v>
      </c>
      <c r="I13" s="102" t="s">
        <v>16</v>
      </c>
      <c r="J13" s="102" t="s">
        <v>17</v>
      </c>
      <c r="K13" s="102" t="s">
        <v>18</v>
      </c>
      <c r="L13" s="102" t="s">
        <v>19</v>
      </c>
      <c r="M13" s="102" t="s">
        <v>20</v>
      </c>
      <c r="N13" s="102" t="s">
        <v>21</v>
      </c>
      <c r="O13" s="102" t="s">
        <v>22</v>
      </c>
      <c r="P13" s="102" t="s">
        <v>23</v>
      </c>
      <c r="Q13" s="102" t="s">
        <v>24</v>
      </c>
      <c r="R13" s="102" t="s">
        <v>25</v>
      </c>
      <c r="S13" s="102" t="s">
        <v>26</v>
      </c>
      <c r="T13" s="102" t="s">
        <v>27</v>
      </c>
      <c r="U13" s="102" t="s">
        <v>28</v>
      </c>
      <c r="V13" s="102" t="s">
        <v>29</v>
      </c>
      <c r="W13" s="102" t="s">
        <v>30</v>
      </c>
      <c r="X13" s="102" t="s">
        <v>31</v>
      </c>
      <c r="Y13" s="102" t="s">
        <v>32</v>
      </c>
      <c r="Z13" s="102" t="s">
        <v>33</v>
      </c>
      <c r="AA13" s="102" t="s">
        <v>34</v>
      </c>
      <c r="AB13" s="102" t="s">
        <v>35</v>
      </c>
      <c r="AC13" s="102" t="s">
        <v>36</v>
      </c>
      <c r="AD13" s="102" t="s">
        <v>37</v>
      </c>
      <c r="AE13" s="102" t="s">
        <v>38</v>
      </c>
      <c r="AF13" s="102" t="s">
        <v>39</v>
      </c>
      <c r="AG13" s="102" t="s">
        <v>40</v>
      </c>
      <c r="AH13" s="102" t="s">
        <v>41</v>
      </c>
      <c r="AI13" s="102" t="s">
        <v>42</v>
      </c>
      <c r="AJ13" s="102" t="s">
        <v>254</v>
      </c>
      <c r="AK13" s="102" t="s">
        <v>285</v>
      </c>
    </row>
    <row r="14" spans="1:37" ht="14.5" x14ac:dyDescent="0.35">
      <c r="A14" s="103" t="s">
        <v>43</v>
      </c>
      <c r="B14" s="103" t="s">
        <v>44</v>
      </c>
      <c r="C14" s="88" t="s">
        <v>45</v>
      </c>
      <c r="D14" s="88" t="s">
        <v>45</v>
      </c>
      <c r="E14" s="88" t="s">
        <v>45</v>
      </c>
      <c r="F14" s="88" t="s">
        <v>45</v>
      </c>
      <c r="G14" s="88" t="s">
        <v>45</v>
      </c>
      <c r="H14" s="88" t="s">
        <v>45</v>
      </c>
      <c r="I14" s="88" t="s">
        <v>45</v>
      </c>
      <c r="J14" s="88" t="s">
        <v>45</v>
      </c>
      <c r="K14" s="88" t="s">
        <v>45</v>
      </c>
      <c r="L14" s="88" t="s">
        <v>45</v>
      </c>
      <c r="M14" s="88" t="s">
        <v>45</v>
      </c>
      <c r="N14" s="88" t="s">
        <v>45</v>
      </c>
      <c r="O14" s="88" t="s">
        <v>45</v>
      </c>
      <c r="P14" s="88" t="s">
        <v>45</v>
      </c>
      <c r="Q14" s="88" t="s">
        <v>45</v>
      </c>
      <c r="R14" s="88" t="s">
        <v>45</v>
      </c>
      <c r="S14" s="88" t="s">
        <v>45</v>
      </c>
      <c r="T14" s="88" t="s">
        <v>45</v>
      </c>
      <c r="U14" s="88" t="s">
        <v>45</v>
      </c>
      <c r="V14" s="88" t="s">
        <v>45</v>
      </c>
      <c r="W14" s="88" t="s">
        <v>45</v>
      </c>
      <c r="X14" s="88" t="s">
        <v>45</v>
      </c>
      <c r="Y14" s="88" t="s">
        <v>45</v>
      </c>
      <c r="Z14" s="88" t="s">
        <v>45</v>
      </c>
      <c r="AA14" s="88" t="s">
        <v>45</v>
      </c>
      <c r="AB14" s="88" t="s">
        <v>45</v>
      </c>
      <c r="AC14" s="88" t="s">
        <v>45</v>
      </c>
      <c r="AD14" s="88" t="s">
        <v>45</v>
      </c>
      <c r="AE14" s="88" t="s">
        <v>45</v>
      </c>
      <c r="AF14" s="88" t="s">
        <v>45</v>
      </c>
      <c r="AG14" s="88" t="s">
        <v>45</v>
      </c>
      <c r="AH14" s="88" t="s">
        <v>45</v>
      </c>
      <c r="AI14" s="88" t="s">
        <v>45</v>
      </c>
      <c r="AJ14" s="88" t="s">
        <v>45</v>
      </c>
      <c r="AK14" s="88" t="s">
        <v>45</v>
      </c>
    </row>
    <row r="15" spans="1:37" x14ac:dyDescent="0.25">
      <c r="A15" s="104" t="s">
        <v>46</v>
      </c>
      <c r="B15" s="104" t="s">
        <v>47</v>
      </c>
      <c r="C15" s="105">
        <v>1085598.7520000001</v>
      </c>
      <c r="D15" s="105">
        <v>948694.79700000002</v>
      </c>
      <c r="E15" s="105">
        <v>881459.27399999998</v>
      </c>
      <c r="F15" s="106">
        <v>838395.1</v>
      </c>
      <c r="G15" s="105">
        <v>804856.20499999996</v>
      </c>
      <c r="H15" s="106">
        <v>787925.2</v>
      </c>
      <c r="I15" s="106">
        <v>778877.3</v>
      </c>
      <c r="J15" s="106">
        <v>750023.5</v>
      </c>
      <c r="K15" s="106">
        <v>692582.8</v>
      </c>
      <c r="L15" s="106">
        <v>653434.30000000005</v>
      </c>
      <c r="M15" s="106">
        <v>657422</v>
      </c>
      <c r="N15" s="106">
        <v>662247</v>
      </c>
      <c r="O15" s="106">
        <v>660241</v>
      </c>
      <c r="P15" s="106">
        <v>661498</v>
      </c>
      <c r="Q15" s="106">
        <v>658637</v>
      </c>
      <c r="R15" s="105">
        <v>642471.755</v>
      </c>
      <c r="S15" s="105">
        <v>635668.85400000005</v>
      </c>
      <c r="T15" s="105">
        <v>632802.01899999997</v>
      </c>
      <c r="U15" s="105">
        <v>609689.54799999995</v>
      </c>
      <c r="V15" s="105">
        <v>568893.87600000005</v>
      </c>
      <c r="W15" s="105">
        <v>561815.14500000002</v>
      </c>
      <c r="X15" s="106">
        <v>589071.75</v>
      </c>
      <c r="Y15" s="105">
        <v>595147.05599999998</v>
      </c>
      <c r="Z15" s="105">
        <v>556642.37800000003</v>
      </c>
      <c r="AA15" s="105">
        <v>540481.63399999996</v>
      </c>
      <c r="AB15" s="105">
        <v>536898.18599999999</v>
      </c>
      <c r="AC15" s="105">
        <v>500447.18199999997</v>
      </c>
      <c r="AD15" s="105">
        <v>506299.65299999999</v>
      </c>
      <c r="AE15" s="105">
        <v>485680.52399999998</v>
      </c>
      <c r="AF15" s="105">
        <v>415081.12199999997</v>
      </c>
      <c r="AG15" s="105">
        <v>338148.63299999997</v>
      </c>
      <c r="AH15" s="105">
        <v>370813.272</v>
      </c>
      <c r="AI15" s="105">
        <v>386537.89199999999</v>
      </c>
      <c r="AJ15" s="105">
        <v>308313.09700000001</v>
      </c>
      <c r="AK15" s="105">
        <v>274881.65299999999</v>
      </c>
    </row>
    <row r="16" spans="1:37" x14ac:dyDescent="0.25">
      <c r="A16" s="104" t="s">
        <v>46</v>
      </c>
      <c r="B16" s="104" t="s">
        <v>48</v>
      </c>
      <c r="C16" s="107">
        <v>2459</v>
      </c>
      <c r="D16" s="107">
        <v>3401</v>
      </c>
      <c r="E16" s="107">
        <v>2285</v>
      </c>
      <c r="F16" s="107">
        <v>1954</v>
      </c>
      <c r="G16" s="107">
        <v>2209</v>
      </c>
      <c r="H16" s="107">
        <v>3725</v>
      </c>
      <c r="I16" s="107">
        <v>2808</v>
      </c>
      <c r="J16" s="107">
        <v>2111</v>
      </c>
      <c r="K16" s="107">
        <v>1419</v>
      </c>
      <c r="L16" s="107">
        <v>1880</v>
      </c>
      <c r="M16" s="107">
        <v>2125</v>
      </c>
      <c r="N16" s="107">
        <v>1305</v>
      </c>
      <c r="O16" s="107">
        <v>1592</v>
      </c>
      <c r="P16" s="107">
        <v>1848</v>
      </c>
      <c r="Q16" s="107">
        <v>3882</v>
      </c>
      <c r="R16" s="107">
        <v>1520</v>
      </c>
      <c r="S16" s="107">
        <v>1297</v>
      </c>
      <c r="T16" s="107">
        <v>1520</v>
      </c>
      <c r="U16" s="107">
        <v>1222</v>
      </c>
      <c r="V16" s="107">
        <v>826</v>
      </c>
      <c r="W16" s="107">
        <v>1024</v>
      </c>
      <c r="X16" s="107">
        <v>1125</v>
      </c>
      <c r="Y16" s="107">
        <v>1108</v>
      </c>
      <c r="Z16" s="107">
        <v>1125.5</v>
      </c>
      <c r="AA16" s="107">
        <v>1382.7</v>
      </c>
      <c r="AB16" s="107">
        <v>833</v>
      </c>
      <c r="AC16" s="107">
        <v>806.5</v>
      </c>
      <c r="AD16" s="108">
        <v>843.37900000000002</v>
      </c>
      <c r="AE16" s="108">
        <v>1143.9079999999999</v>
      </c>
      <c r="AF16" s="108">
        <v>1032.9960000000001</v>
      </c>
      <c r="AG16" s="108">
        <v>781.43399999999997</v>
      </c>
      <c r="AH16" s="108">
        <v>563.44899999999996</v>
      </c>
      <c r="AI16" s="108">
        <v>502.71100000000001</v>
      </c>
      <c r="AJ16" s="107">
        <v>567.70000000000005</v>
      </c>
      <c r="AK16" s="108">
        <v>553.17200000000003</v>
      </c>
    </row>
    <row r="17" spans="1:37" x14ac:dyDescent="0.25">
      <c r="A17" s="104" t="s">
        <v>46</v>
      </c>
      <c r="B17" s="104" t="s">
        <v>49</v>
      </c>
      <c r="C17" s="106">
        <v>177541.02</v>
      </c>
      <c r="D17" s="105">
        <v>177565.394</v>
      </c>
      <c r="E17" s="105">
        <v>170209.81899999999</v>
      </c>
      <c r="F17" s="105">
        <v>147643.49900000001</v>
      </c>
      <c r="G17" s="105">
        <v>153617.883</v>
      </c>
      <c r="H17" s="105">
        <v>162901.772</v>
      </c>
      <c r="I17" s="105">
        <v>162920.43299999999</v>
      </c>
      <c r="J17" s="105">
        <v>163451.299</v>
      </c>
      <c r="K17" s="105">
        <v>163946.674</v>
      </c>
      <c r="L17" s="105">
        <v>157320.288</v>
      </c>
      <c r="M17" s="105">
        <v>173617.31700000001</v>
      </c>
      <c r="N17" s="105">
        <v>179571.753</v>
      </c>
      <c r="O17" s="105">
        <v>181450.25599999999</v>
      </c>
      <c r="P17" s="105">
        <v>188060.117</v>
      </c>
      <c r="Q17" s="105">
        <v>200350.93599999999</v>
      </c>
      <c r="R17" s="105">
        <v>190516.96100000001</v>
      </c>
      <c r="S17" s="105">
        <v>204886.73499999999</v>
      </c>
      <c r="T17" s="105">
        <v>208858.54300000001</v>
      </c>
      <c r="U17" s="105">
        <v>205918.87599999999</v>
      </c>
      <c r="V17" s="105">
        <v>165792.50700000001</v>
      </c>
      <c r="W17" s="106">
        <v>180278.08</v>
      </c>
      <c r="X17" s="105">
        <v>189414.886</v>
      </c>
      <c r="Y17" s="105">
        <v>188103.45600000001</v>
      </c>
      <c r="Z17" s="105">
        <v>182464.21900000001</v>
      </c>
      <c r="AA17" s="105">
        <v>184102.91699999999</v>
      </c>
      <c r="AB17" s="105">
        <v>180133.48300000001</v>
      </c>
      <c r="AC17" s="105">
        <v>172013.22099999999</v>
      </c>
      <c r="AD17" s="105">
        <v>174992.329</v>
      </c>
      <c r="AE17" s="105">
        <v>166209.655</v>
      </c>
      <c r="AF17" s="105">
        <v>137029.829</v>
      </c>
      <c r="AG17" s="106">
        <v>96939.74</v>
      </c>
      <c r="AH17" s="105">
        <v>115510.43399999999</v>
      </c>
      <c r="AI17" s="105">
        <v>138147.98800000001</v>
      </c>
      <c r="AJ17" s="105">
        <v>101930.755</v>
      </c>
      <c r="AK17" s="105">
        <v>76072.702999999994</v>
      </c>
    </row>
    <row r="18" spans="1:37" x14ac:dyDescent="0.25">
      <c r="A18" s="104" t="s">
        <v>46</v>
      </c>
      <c r="B18" s="104" t="s">
        <v>50</v>
      </c>
      <c r="C18" s="108">
        <v>65467.970999999998</v>
      </c>
      <c r="D18" s="107">
        <v>55598</v>
      </c>
      <c r="E18" s="107">
        <v>50100</v>
      </c>
      <c r="F18" s="107">
        <v>48868</v>
      </c>
      <c r="G18" s="107">
        <v>54496</v>
      </c>
      <c r="H18" s="107">
        <v>58364.5</v>
      </c>
      <c r="I18" s="108">
        <v>51976.468000000001</v>
      </c>
      <c r="J18" s="108">
        <v>51665.934000000001</v>
      </c>
      <c r="K18" s="107">
        <v>48600</v>
      </c>
      <c r="L18" s="107">
        <v>42492</v>
      </c>
      <c r="M18" s="107">
        <v>42408</v>
      </c>
      <c r="N18" s="107">
        <v>42539</v>
      </c>
      <c r="O18" s="107">
        <v>41472</v>
      </c>
      <c r="P18" s="107">
        <v>38008</v>
      </c>
      <c r="Q18" s="107">
        <v>38868</v>
      </c>
      <c r="R18" s="107">
        <v>37402.5</v>
      </c>
      <c r="S18" s="108">
        <v>39139.097999999998</v>
      </c>
      <c r="T18" s="108">
        <v>35627.434999999998</v>
      </c>
      <c r="U18" s="108">
        <v>31822.351999999999</v>
      </c>
      <c r="V18" s="107">
        <v>28486.59</v>
      </c>
      <c r="W18" s="108">
        <v>31685.011999999999</v>
      </c>
      <c r="X18" s="108">
        <v>27326.447</v>
      </c>
      <c r="Y18" s="107">
        <v>28288.73</v>
      </c>
      <c r="Z18" s="108">
        <v>30326.266</v>
      </c>
      <c r="AA18" s="108">
        <v>30109.901999999998</v>
      </c>
      <c r="AB18" s="108">
        <v>27620.079000000002</v>
      </c>
      <c r="AC18" s="108">
        <v>26206.116999999998</v>
      </c>
      <c r="AD18" s="108">
        <v>22493.592000000001</v>
      </c>
      <c r="AE18" s="107">
        <v>19868.05</v>
      </c>
      <c r="AF18" s="108">
        <v>19471.651999999998</v>
      </c>
      <c r="AG18" s="108">
        <v>19351.749</v>
      </c>
      <c r="AH18" s="108">
        <v>21994.798999999999</v>
      </c>
      <c r="AI18" s="108">
        <v>21294.168000000001</v>
      </c>
      <c r="AJ18" s="108">
        <v>23717.566999999999</v>
      </c>
      <c r="AK18" s="108">
        <v>18857.699000000001</v>
      </c>
    </row>
    <row r="19" spans="1:37" x14ac:dyDescent="0.25">
      <c r="A19" s="104" t="s">
        <v>46</v>
      </c>
      <c r="B19" s="104" t="s">
        <v>51</v>
      </c>
      <c r="C19" s="105">
        <v>13161.482</v>
      </c>
      <c r="D19" s="105">
        <v>4984.0349999999999</v>
      </c>
      <c r="E19" s="105">
        <v>-10278.999</v>
      </c>
      <c r="F19" s="106">
        <v>10899.82</v>
      </c>
      <c r="G19" s="105">
        <v>13600.656000000001</v>
      </c>
      <c r="H19" s="105">
        <v>4780.9279999999999</v>
      </c>
      <c r="I19" s="105">
        <v>3560.8589999999999</v>
      </c>
      <c r="J19" s="105">
        <v>-3764.8829999999998</v>
      </c>
      <c r="K19" s="105">
        <v>9192.5439999999999</v>
      </c>
      <c r="L19" s="105">
        <v>5780.3019999999997</v>
      </c>
      <c r="M19" s="105">
        <v>9668.2430000000004</v>
      </c>
      <c r="N19" s="106">
        <v>5623.89</v>
      </c>
      <c r="O19" s="105">
        <v>1691.211</v>
      </c>
      <c r="P19" s="105">
        <v>9530.4110000000001</v>
      </c>
      <c r="Q19" s="105">
        <v>-1073.069</v>
      </c>
      <c r="R19" s="105">
        <v>606.11199999999997</v>
      </c>
      <c r="S19" s="105">
        <v>5047.027</v>
      </c>
      <c r="T19" s="105">
        <v>6437.5050000000001</v>
      </c>
      <c r="U19" s="105">
        <v>-16115.625</v>
      </c>
      <c r="V19" s="105">
        <v>-6774.6279999999997</v>
      </c>
      <c r="W19" s="105">
        <v>7264.1570000000002</v>
      </c>
      <c r="X19" s="105">
        <v>295.154</v>
      </c>
      <c r="Y19" s="105">
        <v>-4371.1490000000003</v>
      </c>
      <c r="Z19" s="105">
        <v>13232.289000000001</v>
      </c>
      <c r="AA19" s="105">
        <v>2448.9839999999999</v>
      </c>
      <c r="AB19" s="105">
        <v>5217.9489999999996</v>
      </c>
      <c r="AC19" s="105">
        <v>12984.968999999999</v>
      </c>
      <c r="AD19" s="106">
        <v>1393.28</v>
      </c>
      <c r="AE19" s="105">
        <v>3173.9340000000002</v>
      </c>
      <c r="AF19" s="105">
        <v>-6266.0190000000002</v>
      </c>
      <c r="AG19" s="105">
        <v>10757.968999999999</v>
      </c>
      <c r="AH19" s="105">
        <v>19887.819</v>
      </c>
      <c r="AI19" s="105">
        <v>-8837.3719999999994</v>
      </c>
      <c r="AJ19" s="105">
        <v>-3754.009</v>
      </c>
      <c r="AK19" s="105">
        <v>10729.358</v>
      </c>
    </row>
    <row r="20" spans="1:37" x14ac:dyDescent="0.25">
      <c r="A20" s="104" t="s">
        <v>46</v>
      </c>
      <c r="B20" s="104" t="s">
        <v>52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07">
        <v>0</v>
      </c>
      <c r="N20" s="107">
        <v>0</v>
      </c>
      <c r="O20" s="107">
        <v>0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07">
        <v>0</v>
      </c>
      <c r="Y20" s="107">
        <v>0</v>
      </c>
      <c r="Z20" s="107">
        <v>0</v>
      </c>
      <c r="AA20" s="107">
        <v>0</v>
      </c>
      <c r="AB20" s="107">
        <v>0</v>
      </c>
      <c r="AC20" s="107">
        <v>0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7">
        <v>0</v>
      </c>
      <c r="AJ20" s="107">
        <v>0</v>
      </c>
      <c r="AK20" s="109" t="s">
        <v>255</v>
      </c>
    </row>
    <row r="21" spans="1:37" x14ac:dyDescent="0.25">
      <c r="A21" s="104" t="s">
        <v>46</v>
      </c>
      <c r="B21" s="104" t="s">
        <v>53</v>
      </c>
      <c r="C21" s="105">
        <v>1213292.2830000001</v>
      </c>
      <c r="D21" s="105">
        <v>1079047.226</v>
      </c>
      <c r="E21" s="105">
        <v>993575.09400000004</v>
      </c>
      <c r="F21" s="105">
        <v>950024.41899999999</v>
      </c>
      <c r="G21" s="105">
        <v>919787.74399999995</v>
      </c>
      <c r="H21" s="106">
        <v>900968.4</v>
      </c>
      <c r="I21" s="105">
        <v>896190.12399999995</v>
      </c>
      <c r="J21" s="105">
        <v>860154.98199999996</v>
      </c>
      <c r="K21" s="105">
        <v>818541.01800000004</v>
      </c>
      <c r="L21" s="106">
        <v>775922.89</v>
      </c>
      <c r="M21" s="106">
        <v>800424.56</v>
      </c>
      <c r="N21" s="105">
        <v>806208.64300000004</v>
      </c>
      <c r="O21" s="105">
        <v>803502.46699999995</v>
      </c>
      <c r="P21" s="105">
        <v>822928.52800000005</v>
      </c>
      <c r="Q21" s="105">
        <v>822928.86699999997</v>
      </c>
      <c r="R21" s="105">
        <v>797712.32799999998</v>
      </c>
      <c r="S21" s="105">
        <v>807760.51800000004</v>
      </c>
      <c r="T21" s="105">
        <v>813990.63199999998</v>
      </c>
      <c r="U21" s="105">
        <v>768892.44700000004</v>
      </c>
      <c r="V21" s="105">
        <v>700251.16500000004</v>
      </c>
      <c r="W21" s="106">
        <v>718696.37</v>
      </c>
      <c r="X21" s="105">
        <v>752580.34299999999</v>
      </c>
      <c r="Y21" s="105">
        <v>751698.63300000003</v>
      </c>
      <c r="Z21" s="106">
        <v>723138.12</v>
      </c>
      <c r="AA21" s="105">
        <v>698306.33299999998</v>
      </c>
      <c r="AB21" s="105">
        <v>695462.53899999999</v>
      </c>
      <c r="AC21" s="105">
        <v>660045.755</v>
      </c>
      <c r="AD21" s="105">
        <v>661035.049</v>
      </c>
      <c r="AE21" s="105">
        <v>636339.97100000002</v>
      </c>
      <c r="AF21" s="105">
        <v>527406.27599999995</v>
      </c>
      <c r="AG21" s="105">
        <v>427276.027</v>
      </c>
      <c r="AH21" s="105">
        <v>484780.17499999999</v>
      </c>
      <c r="AI21" s="105">
        <v>495057.05099999998</v>
      </c>
      <c r="AJ21" s="105">
        <v>383339.97600000002</v>
      </c>
      <c r="AK21" s="105">
        <v>343379.18599999999</v>
      </c>
    </row>
    <row r="22" spans="1:37" x14ac:dyDescent="0.25">
      <c r="A22" s="104" t="s">
        <v>54</v>
      </c>
      <c r="B22" s="104" t="s">
        <v>47</v>
      </c>
      <c r="C22" s="108">
        <v>277420.505</v>
      </c>
      <c r="D22" s="108">
        <v>261036.997</v>
      </c>
      <c r="E22" s="108">
        <v>251049.274</v>
      </c>
      <c r="F22" s="107">
        <v>236744.6</v>
      </c>
      <c r="G22" s="108">
        <v>231356.20499999999</v>
      </c>
      <c r="H22" s="107">
        <v>233296.2</v>
      </c>
      <c r="I22" s="107">
        <v>227824.4</v>
      </c>
      <c r="J22" s="107">
        <v>224534.5</v>
      </c>
      <c r="K22" s="107">
        <v>194246.8</v>
      </c>
      <c r="L22" s="107">
        <v>184048.3</v>
      </c>
      <c r="M22" s="107">
        <v>169332</v>
      </c>
      <c r="N22" s="107">
        <v>161885</v>
      </c>
      <c r="O22" s="107">
        <v>157904</v>
      </c>
      <c r="P22" s="107">
        <v>155503</v>
      </c>
      <c r="Q22" s="107">
        <v>152173</v>
      </c>
      <c r="R22" s="107">
        <v>147034</v>
      </c>
      <c r="S22" s="107">
        <v>139955</v>
      </c>
      <c r="T22" s="107">
        <v>132551</v>
      </c>
      <c r="U22" s="107">
        <v>122939</v>
      </c>
      <c r="V22" s="107">
        <v>110512</v>
      </c>
      <c r="W22" s="107">
        <v>107816</v>
      </c>
      <c r="X22" s="107">
        <v>104259</v>
      </c>
      <c r="Y22" s="107">
        <v>106230</v>
      </c>
      <c r="Z22" s="107">
        <v>95941</v>
      </c>
      <c r="AA22" s="107">
        <v>92315</v>
      </c>
      <c r="AB22" s="107">
        <v>88889</v>
      </c>
      <c r="AC22" s="107">
        <v>82318</v>
      </c>
      <c r="AD22" s="108">
        <v>75892.292000000001</v>
      </c>
      <c r="AE22" s="108">
        <v>71297.092999999993</v>
      </c>
      <c r="AF22" s="108">
        <v>65055.502999999997</v>
      </c>
      <c r="AG22" s="108">
        <v>56531.347000000002</v>
      </c>
      <c r="AH22" s="108">
        <v>57185.258999999998</v>
      </c>
      <c r="AI22" s="108">
        <v>54512.514999999999</v>
      </c>
      <c r="AJ22" s="108">
        <v>49721.788999999997</v>
      </c>
      <c r="AK22" s="108">
        <v>45295.836000000003</v>
      </c>
    </row>
    <row r="23" spans="1:37" x14ac:dyDescent="0.25">
      <c r="A23" s="104" t="s">
        <v>54</v>
      </c>
      <c r="B23" s="104" t="s">
        <v>48</v>
      </c>
      <c r="C23" s="106">
        <v>1138</v>
      </c>
      <c r="D23" s="106">
        <v>1928</v>
      </c>
      <c r="E23" s="106">
        <v>1306</v>
      </c>
      <c r="F23" s="106">
        <v>983</v>
      </c>
      <c r="G23" s="106">
        <v>1456</v>
      </c>
      <c r="H23" s="106">
        <v>3088</v>
      </c>
      <c r="I23" s="106">
        <v>2248</v>
      </c>
      <c r="J23" s="106">
        <v>1684</v>
      </c>
      <c r="K23" s="106">
        <v>1107</v>
      </c>
      <c r="L23" s="106">
        <v>1516</v>
      </c>
      <c r="M23" s="106">
        <v>1750</v>
      </c>
      <c r="N23" s="106">
        <v>1087</v>
      </c>
      <c r="O23" s="106">
        <v>1419</v>
      </c>
      <c r="P23" s="106">
        <v>1719</v>
      </c>
      <c r="Q23" s="106">
        <v>3701</v>
      </c>
      <c r="R23" s="106">
        <v>1411</v>
      </c>
      <c r="S23" s="106">
        <v>1268</v>
      </c>
      <c r="T23" s="106">
        <v>1508</v>
      </c>
      <c r="U23" s="106">
        <v>961</v>
      </c>
      <c r="V23" s="106">
        <v>826</v>
      </c>
      <c r="W23" s="106">
        <v>1022</v>
      </c>
      <c r="X23" s="106">
        <v>1125</v>
      </c>
      <c r="Y23" s="106">
        <v>1108</v>
      </c>
      <c r="Z23" s="106">
        <v>1048</v>
      </c>
      <c r="AA23" s="106">
        <v>1302</v>
      </c>
      <c r="AB23" s="106">
        <v>766</v>
      </c>
      <c r="AC23" s="106">
        <v>694</v>
      </c>
      <c r="AD23" s="105">
        <v>738.37900000000002</v>
      </c>
      <c r="AE23" s="105">
        <v>669.27800000000002</v>
      </c>
      <c r="AF23" s="105">
        <v>578.12800000000004</v>
      </c>
      <c r="AG23" s="105">
        <v>393.11200000000002</v>
      </c>
      <c r="AH23" s="105">
        <v>370.64400000000001</v>
      </c>
      <c r="AI23" s="105">
        <v>378.529</v>
      </c>
      <c r="AJ23" s="105">
        <v>380.392</v>
      </c>
      <c r="AK23" s="105">
        <v>408.21300000000002</v>
      </c>
    </row>
    <row r="24" spans="1:37" x14ac:dyDescent="0.25">
      <c r="A24" s="104" t="s">
        <v>54</v>
      </c>
      <c r="B24" s="104" t="s">
        <v>49</v>
      </c>
      <c r="C24" s="108">
        <v>148225.75200000001</v>
      </c>
      <c r="D24" s="108">
        <v>150987.394</v>
      </c>
      <c r="E24" s="107">
        <v>148870.66</v>
      </c>
      <c r="F24" s="107">
        <v>127556.2</v>
      </c>
      <c r="G24" s="108">
        <v>134684.71100000001</v>
      </c>
      <c r="H24" s="108">
        <v>143793.97200000001</v>
      </c>
      <c r="I24" s="108">
        <v>145074.98699999999</v>
      </c>
      <c r="J24" s="108">
        <v>147055.55600000001</v>
      </c>
      <c r="K24" s="107">
        <v>147886.51999999999</v>
      </c>
      <c r="L24" s="107">
        <v>142442.13</v>
      </c>
      <c r="M24" s="108">
        <v>155588.27299999999</v>
      </c>
      <c r="N24" s="108">
        <v>159893.348</v>
      </c>
      <c r="O24" s="108">
        <v>164402.783</v>
      </c>
      <c r="P24" s="108">
        <v>169782.109</v>
      </c>
      <c r="Q24" s="108">
        <v>183846.04300000001</v>
      </c>
      <c r="R24" s="108">
        <v>174791.74900000001</v>
      </c>
      <c r="S24" s="108">
        <v>187917.592</v>
      </c>
      <c r="T24" s="108">
        <v>190931.478</v>
      </c>
      <c r="U24" s="108">
        <v>188487.63500000001</v>
      </c>
      <c r="V24" s="108">
        <v>154048.019</v>
      </c>
      <c r="W24" s="108">
        <v>164492.39799999999</v>
      </c>
      <c r="X24" s="108">
        <v>175699.47700000001</v>
      </c>
      <c r="Y24" s="108">
        <v>174761.24400000001</v>
      </c>
      <c r="Z24" s="108">
        <v>168498.861</v>
      </c>
      <c r="AA24" s="108">
        <v>168460.492</v>
      </c>
      <c r="AB24" s="108">
        <v>166551.67499999999</v>
      </c>
      <c r="AC24" s="108">
        <v>160271.054</v>
      </c>
      <c r="AD24" s="108">
        <v>163517.77600000001</v>
      </c>
      <c r="AE24" s="108">
        <v>154389.54800000001</v>
      </c>
      <c r="AF24" s="108">
        <v>125433.083</v>
      </c>
      <c r="AG24" s="108">
        <v>87708.301000000007</v>
      </c>
      <c r="AH24" s="108">
        <v>104243.95699999999</v>
      </c>
      <c r="AI24" s="108">
        <v>126737.10799999999</v>
      </c>
      <c r="AJ24" s="108">
        <v>92422.554000000004</v>
      </c>
      <c r="AK24" s="108">
        <v>67644.111000000004</v>
      </c>
    </row>
    <row r="25" spans="1:37" x14ac:dyDescent="0.25">
      <c r="A25" s="104" t="s">
        <v>54</v>
      </c>
      <c r="B25" s="104" t="s">
        <v>50</v>
      </c>
      <c r="C25" s="106">
        <v>39922</v>
      </c>
      <c r="D25" s="106">
        <v>32707</v>
      </c>
      <c r="E25" s="106">
        <v>30927</v>
      </c>
      <c r="F25" s="106">
        <v>30678</v>
      </c>
      <c r="G25" s="106">
        <v>37673</v>
      </c>
      <c r="H25" s="106">
        <v>41987</v>
      </c>
      <c r="I25" s="106">
        <v>38358</v>
      </c>
      <c r="J25" s="106">
        <v>38531.1</v>
      </c>
      <c r="K25" s="106">
        <v>36724</v>
      </c>
      <c r="L25" s="106">
        <v>31959</v>
      </c>
      <c r="M25" s="106">
        <v>31052</v>
      </c>
      <c r="N25" s="106">
        <v>31047</v>
      </c>
      <c r="O25" s="106">
        <v>30840</v>
      </c>
      <c r="P25" s="106">
        <v>27219</v>
      </c>
      <c r="Q25" s="106">
        <v>27034</v>
      </c>
      <c r="R25" s="105">
        <v>26507.261999999999</v>
      </c>
      <c r="S25" s="105">
        <v>24782.221000000001</v>
      </c>
      <c r="T25" s="106">
        <v>21953.26</v>
      </c>
      <c r="U25" s="105">
        <v>18495.725999999999</v>
      </c>
      <c r="V25" s="105">
        <v>17691.208999999999</v>
      </c>
      <c r="W25" s="105">
        <v>18914.080999999998</v>
      </c>
      <c r="X25" s="105">
        <v>15000.674999999999</v>
      </c>
      <c r="Y25" s="105">
        <v>15309.931</v>
      </c>
      <c r="Z25" s="106">
        <v>17323.169999999998</v>
      </c>
      <c r="AA25" s="105">
        <v>15444.407999999999</v>
      </c>
      <c r="AB25" s="105">
        <v>14288.491</v>
      </c>
      <c r="AC25" s="106">
        <v>13414.84</v>
      </c>
      <c r="AD25" s="105">
        <v>10025.014999999999</v>
      </c>
      <c r="AE25" s="105">
        <v>7366.9589999999998</v>
      </c>
      <c r="AF25" s="105">
        <v>7929.9650000000001</v>
      </c>
      <c r="AG25" s="105">
        <v>8304.125</v>
      </c>
      <c r="AH25" s="105">
        <v>10187.777</v>
      </c>
      <c r="AI25" s="105">
        <v>8772.6139999999996</v>
      </c>
      <c r="AJ25" s="106">
        <v>10291.620000000001</v>
      </c>
      <c r="AK25" s="105">
        <v>7885.8950000000004</v>
      </c>
    </row>
    <row r="26" spans="1:37" x14ac:dyDescent="0.25">
      <c r="A26" s="104" t="s">
        <v>54</v>
      </c>
      <c r="B26" s="104" t="s">
        <v>51</v>
      </c>
      <c r="C26" s="108">
        <v>3003.549</v>
      </c>
      <c r="D26" s="108">
        <v>3117.3139999999999</v>
      </c>
      <c r="E26" s="108">
        <v>-10976.999</v>
      </c>
      <c r="F26" s="107">
        <v>7972.82</v>
      </c>
      <c r="G26" s="108">
        <v>9260.6560000000009</v>
      </c>
      <c r="H26" s="108">
        <v>2277.9279999999999</v>
      </c>
      <c r="I26" s="108">
        <v>7321.9129999999996</v>
      </c>
      <c r="J26" s="108">
        <v>-3728.3560000000002</v>
      </c>
      <c r="K26" s="107">
        <v>10003.58</v>
      </c>
      <c r="L26" s="107">
        <v>3440.67</v>
      </c>
      <c r="M26" s="108">
        <v>5078.7929999999997</v>
      </c>
      <c r="N26" s="107">
        <v>5500.39</v>
      </c>
      <c r="O26" s="108">
        <v>1213.6110000000001</v>
      </c>
      <c r="P26" s="108">
        <v>5544.4110000000001</v>
      </c>
      <c r="Q26" s="108">
        <v>-3360.069</v>
      </c>
      <c r="R26" s="108">
        <v>-2039.079</v>
      </c>
      <c r="S26" s="108">
        <v>2219.7049999999999</v>
      </c>
      <c r="T26" s="108">
        <v>7491.5680000000002</v>
      </c>
      <c r="U26" s="108">
        <v>-11369.864</v>
      </c>
      <c r="V26" s="108">
        <v>-6188.4260000000004</v>
      </c>
      <c r="W26" s="108">
        <v>6426.0010000000002</v>
      </c>
      <c r="X26" s="108">
        <v>-1482.242</v>
      </c>
      <c r="Y26" s="108">
        <v>-2881.1320000000001</v>
      </c>
      <c r="Z26" s="108">
        <v>11970.652</v>
      </c>
      <c r="AA26" s="108">
        <v>-1226.3420000000001</v>
      </c>
      <c r="AB26" s="107">
        <v>6121.96</v>
      </c>
      <c r="AC26" s="108">
        <v>10893.549000000001</v>
      </c>
      <c r="AD26" s="108">
        <v>2021.4449999999999</v>
      </c>
      <c r="AE26" s="108">
        <v>2274.123</v>
      </c>
      <c r="AF26" s="108">
        <v>-4294.7529999999997</v>
      </c>
      <c r="AG26" s="108">
        <v>8549.1910000000007</v>
      </c>
      <c r="AH26" s="107">
        <v>14601.94</v>
      </c>
      <c r="AI26" s="108">
        <v>-9205.3829999999998</v>
      </c>
      <c r="AJ26" s="108">
        <v>-3499.9520000000002</v>
      </c>
      <c r="AK26" s="108">
        <v>5461.5879999999997</v>
      </c>
    </row>
    <row r="27" spans="1:37" x14ac:dyDescent="0.25">
      <c r="A27" s="104" t="s">
        <v>54</v>
      </c>
      <c r="B27" s="104" t="s">
        <v>52</v>
      </c>
      <c r="C27" s="106">
        <v>0</v>
      </c>
      <c r="D27" s="106">
        <v>0</v>
      </c>
      <c r="E27" s="106">
        <v>0</v>
      </c>
      <c r="F27" s="106">
        <v>0</v>
      </c>
      <c r="G27" s="106">
        <v>0</v>
      </c>
      <c r="H27" s="106">
        <v>0</v>
      </c>
      <c r="I27" s="106">
        <v>0</v>
      </c>
      <c r="J27" s="106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0</v>
      </c>
      <c r="Q27" s="106">
        <v>0</v>
      </c>
      <c r="R27" s="106">
        <v>0</v>
      </c>
      <c r="S27" s="106">
        <v>0</v>
      </c>
      <c r="T27" s="106">
        <v>0</v>
      </c>
      <c r="U27" s="106">
        <v>0</v>
      </c>
      <c r="V27" s="106">
        <v>0</v>
      </c>
      <c r="W27" s="106">
        <v>0</v>
      </c>
      <c r="X27" s="106">
        <v>0</v>
      </c>
      <c r="Y27" s="106">
        <v>0</v>
      </c>
      <c r="Z27" s="106">
        <v>0</v>
      </c>
      <c r="AA27" s="106">
        <v>0</v>
      </c>
      <c r="AB27" s="106">
        <v>0</v>
      </c>
      <c r="AC27" s="106">
        <v>0</v>
      </c>
      <c r="AD27" s="106">
        <v>0</v>
      </c>
      <c r="AE27" s="106">
        <v>0</v>
      </c>
      <c r="AF27" s="106">
        <v>0</v>
      </c>
      <c r="AG27" s="106">
        <v>0</v>
      </c>
      <c r="AH27" s="106">
        <v>0</v>
      </c>
      <c r="AI27" s="106">
        <v>0</v>
      </c>
      <c r="AJ27" s="106">
        <v>0</v>
      </c>
      <c r="AK27" s="110" t="s">
        <v>255</v>
      </c>
    </row>
    <row r="28" spans="1:37" x14ac:dyDescent="0.25">
      <c r="A28" s="104" t="s">
        <v>54</v>
      </c>
      <c r="B28" s="104" t="s">
        <v>53</v>
      </c>
      <c r="C28" s="108">
        <v>389865.80599999998</v>
      </c>
      <c r="D28" s="108">
        <v>384362.70500000002</v>
      </c>
      <c r="E28" s="108">
        <v>359321.935</v>
      </c>
      <c r="F28" s="107">
        <v>342578.62</v>
      </c>
      <c r="G28" s="108">
        <v>339084.57199999999</v>
      </c>
      <c r="H28" s="107">
        <v>340469.1</v>
      </c>
      <c r="I28" s="107">
        <v>344111.3</v>
      </c>
      <c r="J28" s="107">
        <v>331014.59999999998</v>
      </c>
      <c r="K28" s="107">
        <v>316519.90000000002</v>
      </c>
      <c r="L28" s="107">
        <v>299488.09999999998</v>
      </c>
      <c r="M28" s="108">
        <v>300697.06599999999</v>
      </c>
      <c r="N28" s="108">
        <v>297318.73800000001</v>
      </c>
      <c r="O28" s="108">
        <v>294099.39399999997</v>
      </c>
      <c r="P28" s="107">
        <v>305329.52</v>
      </c>
      <c r="Q28" s="108">
        <v>309325.97399999999</v>
      </c>
      <c r="R28" s="108">
        <v>294690.408</v>
      </c>
      <c r="S28" s="108">
        <v>306578.076</v>
      </c>
      <c r="T28" s="108">
        <v>310528.78600000002</v>
      </c>
      <c r="U28" s="108">
        <v>282522.04499999998</v>
      </c>
      <c r="V28" s="108">
        <v>241506.38399999999</v>
      </c>
      <c r="W28" s="108">
        <v>260842.318</v>
      </c>
      <c r="X28" s="107">
        <v>264600.56</v>
      </c>
      <c r="Y28" s="108">
        <v>263908.18099999998</v>
      </c>
      <c r="Z28" s="108">
        <v>260135.34299999999</v>
      </c>
      <c r="AA28" s="108">
        <v>245406.742</v>
      </c>
      <c r="AB28" s="108">
        <v>248040.144</v>
      </c>
      <c r="AC28" s="108">
        <v>240761.76300000001</v>
      </c>
      <c r="AD28" s="108">
        <v>232144.87700000001</v>
      </c>
      <c r="AE28" s="108">
        <v>221263.08300000001</v>
      </c>
      <c r="AF28" s="108">
        <v>178841.99600000001</v>
      </c>
      <c r="AG28" s="108">
        <v>144877.826</v>
      </c>
      <c r="AH28" s="108">
        <v>166214.02299999999</v>
      </c>
      <c r="AI28" s="108">
        <v>163650.155</v>
      </c>
      <c r="AJ28" s="108">
        <v>128733.163</v>
      </c>
      <c r="AK28" s="108">
        <v>110923.852</v>
      </c>
    </row>
    <row r="29" spans="1:37" x14ac:dyDescent="0.25">
      <c r="A29" s="104" t="s">
        <v>55</v>
      </c>
      <c r="B29" s="104" t="s">
        <v>47</v>
      </c>
      <c r="C29" s="106">
        <v>0</v>
      </c>
      <c r="D29" s="106">
        <v>0</v>
      </c>
      <c r="E29" s="106">
        <v>0</v>
      </c>
      <c r="F29" s="106">
        <v>0</v>
      </c>
      <c r="G29" s="106">
        <v>0</v>
      </c>
      <c r="H29" s="106">
        <v>0</v>
      </c>
      <c r="I29" s="106">
        <v>0</v>
      </c>
      <c r="J29" s="106">
        <v>0</v>
      </c>
      <c r="K29" s="106">
        <v>0</v>
      </c>
      <c r="L29" s="106">
        <v>0</v>
      </c>
      <c r="M29" s="106">
        <v>0</v>
      </c>
      <c r="N29" s="106">
        <v>0</v>
      </c>
      <c r="O29" s="106">
        <v>0</v>
      </c>
      <c r="P29" s="106">
        <v>1901</v>
      </c>
      <c r="Q29" s="106">
        <v>5654</v>
      </c>
      <c r="R29" s="106">
        <v>5884</v>
      </c>
      <c r="S29" s="106">
        <v>5763</v>
      </c>
      <c r="T29" s="106">
        <v>5471</v>
      </c>
      <c r="U29" s="106">
        <v>5131</v>
      </c>
      <c r="V29" s="106">
        <v>5985</v>
      </c>
      <c r="W29" s="106">
        <v>5231</v>
      </c>
      <c r="X29" s="106">
        <v>4558</v>
      </c>
      <c r="Y29" s="106">
        <v>4266</v>
      </c>
      <c r="Z29" s="106">
        <v>2794</v>
      </c>
      <c r="AA29" s="106">
        <v>3366</v>
      </c>
      <c r="AB29" s="106">
        <v>2426</v>
      </c>
      <c r="AC29" s="106">
        <v>1737</v>
      </c>
      <c r="AD29" s="106">
        <v>1394</v>
      </c>
      <c r="AE29" s="106">
        <v>1122</v>
      </c>
      <c r="AF29" s="106">
        <v>0</v>
      </c>
      <c r="AG29" s="106">
        <v>0</v>
      </c>
      <c r="AH29" s="106">
        <v>0</v>
      </c>
      <c r="AI29" s="106">
        <v>0</v>
      </c>
      <c r="AJ29" s="106">
        <v>0</v>
      </c>
      <c r="AK29" s="106">
        <v>0</v>
      </c>
    </row>
    <row r="30" spans="1:37" x14ac:dyDescent="0.25">
      <c r="A30" s="104" t="s">
        <v>55</v>
      </c>
      <c r="B30" s="104" t="s">
        <v>48</v>
      </c>
      <c r="C30" s="107">
        <v>0</v>
      </c>
      <c r="D30" s="107">
        <v>0</v>
      </c>
      <c r="E30" s="107">
        <v>0</v>
      </c>
      <c r="F30" s="107">
        <v>0</v>
      </c>
      <c r="G30" s="107">
        <v>0</v>
      </c>
      <c r="H30" s="107">
        <v>0</v>
      </c>
      <c r="I30" s="107">
        <v>0</v>
      </c>
      <c r="J30" s="107">
        <v>0</v>
      </c>
      <c r="K30" s="107">
        <v>0</v>
      </c>
      <c r="L30" s="107">
        <v>0</v>
      </c>
      <c r="M30" s="107">
        <v>0</v>
      </c>
      <c r="N30" s="107">
        <v>0</v>
      </c>
      <c r="O30" s="107">
        <v>0</v>
      </c>
      <c r="P30" s="107">
        <v>0</v>
      </c>
      <c r="Q30" s="107">
        <v>0</v>
      </c>
      <c r="R30" s="107">
        <v>0</v>
      </c>
      <c r="S30" s="107">
        <v>0</v>
      </c>
      <c r="T30" s="107">
        <v>0</v>
      </c>
      <c r="U30" s="107">
        <v>0</v>
      </c>
      <c r="V30" s="107">
        <v>0</v>
      </c>
      <c r="W30" s="107">
        <v>0</v>
      </c>
      <c r="X30" s="107">
        <v>0</v>
      </c>
      <c r="Y30" s="107">
        <v>0</v>
      </c>
      <c r="Z30" s="107">
        <v>0</v>
      </c>
      <c r="AA30" s="107">
        <v>0</v>
      </c>
      <c r="AB30" s="107">
        <v>0</v>
      </c>
      <c r="AC30" s="107">
        <v>0</v>
      </c>
      <c r="AD30" s="107">
        <v>0</v>
      </c>
      <c r="AE30" s="107">
        <v>0</v>
      </c>
      <c r="AF30" s="107">
        <v>0</v>
      </c>
      <c r="AG30" s="107">
        <v>0</v>
      </c>
      <c r="AH30" s="107">
        <v>0</v>
      </c>
      <c r="AI30" s="107">
        <v>0</v>
      </c>
      <c r="AJ30" s="107">
        <v>0</v>
      </c>
      <c r="AK30" s="107">
        <v>0</v>
      </c>
    </row>
    <row r="31" spans="1:37" x14ac:dyDescent="0.25">
      <c r="A31" s="104" t="s">
        <v>55</v>
      </c>
      <c r="B31" s="104" t="s">
        <v>49</v>
      </c>
      <c r="C31" s="105">
        <v>418.75200000000001</v>
      </c>
      <c r="D31" s="105">
        <v>305.39400000000001</v>
      </c>
      <c r="E31" s="106">
        <v>349.36</v>
      </c>
      <c r="F31" s="106">
        <v>325.2</v>
      </c>
      <c r="G31" s="105">
        <v>199.21100000000001</v>
      </c>
      <c r="H31" s="106">
        <v>158</v>
      </c>
      <c r="I31" s="106">
        <v>187.1</v>
      </c>
      <c r="J31" s="106">
        <v>93</v>
      </c>
      <c r="K31" s="106">
        <v>124</v>
      </c>
      <c r="L31" s="106">
        <v>116</v>
      </c>
      <c r="M31" s="105">
        <v>140.61600000000001</v>
      </c>
      <c r="N31" s="105">
        <v>137.88399999999999</v>
      </c>
      <c r="O31" s="105">
        <v>1396.0219999999999</v>
      </c>
      <c r="P31" s="105">
        <v>3263.0970000000002</v>
      </c>
      <c r="Q31" s="105">
        <v>4693.3469999999998</v>
      </c>
      <c r="R31" s="105">
        <v>4565.9030000000002</v>
      </c>
      <c r="S31" s="105">
        <v>3707.1750000000002</v>
      </c>
      <c r="T31" s="105">
        <v>5030.2889999999998</v>
      </c>
      <c r="U31" s="105">
        <v>6532.8230000000003</v>
      </c>
      <c r="V31" s="106">
        <v>4543.91</v>
      </c>
      <c r="W31" s="105">
        <v>4747.5150000000003</v>
      </c>
      <c r="X31" s="105">
        <v>7198.2870000000003</v>
      </c>
      <c r="Y31" s="106">
        <v>6205.09</v>
      </c>
      <c r="Z31" s="105">
        <v>5258.7430000000004</v>
      </c>
      <c r="AA31" s="105">
        <v>4789.9849999999997</v>
      </c>
      <c r="AB31" s="105">
        <v>4646.0039999999999</v>
      </c>
      <c r="AC31" s="105">
        <v>3238.6709999999998</v>
      </c>
      <c r="AD31" s="105">
        <v>3519.7150000000001</v>
      </c>
      <c r="AE31" s="105">
        <v>3955.6089999999999</v>
      </c>
      <c r="AF31" s="105">
        <v>4270.4440000000004</v>
      </c>
      <c r="AG31" s="105">
        <v>4041.5909999999999</v>
      </c>
      <c r="AH31" s="105">
        <v>3413.953</v>
      </c>
      <c r="AI31" s="105">
        <v>2772.0729999999999</v>
      </c>
      <c r="AJ31" s="105">
        <v>1420.663</v>
      </c>
      <c r="AK31" s="105">
        <v>1316.0809999999999</v>
      </c>
    </row>
    <row r="32" spans="1:37" x14ac:dyDescent="0.25">
      <c r="A32" s="104" t="s">
        <v>55</v>
      </c>
      <c r="B32" s="104" t="s">
        <v>50</v>
      </c>
      <c r="C32" s="107">
        <v>0</v>
      </c>
      <c r="D32" s="107">
        <v>0</v>
      </c>
      <c r="E32" s="107">
        <v>0</v>
      </c>
      <c r="F32" s="107">
        <v>0</v>
      </c>
      <c r="G32" s="107">
        <v>0</v>
      </c>
      <c r="H32" s="107">
        <v>0</v>
      </c>
      <c r="I32" s="107">
        <v>0</v>
      </c>
      <c r="J32" s="107">
        <v>0</v>
      </c>
      <c r="K32" s="107">
        <v>0</v>
      </c>
      <c r="L32" s="107">
        <v>0</v>
      </c>
      <c r="M32" s="107">
        <v>0</v>
      </c>
      <c r="N32" s="107">
        <v>0</v>
      </c>
      <c r="O32" s="107">
        <v>935</v>
      </c>
      <c r="P32" s="107">
        <v>816</v>
      </c>
      <c r="Q32" s="107">
        <v>932</v>
      </c>
      <c r="R32" s="108">
        <v>786.76099999999997</v>
      </c>
      <c r="S32" s="108">
        <v>671.00300000000004</v>
      </c>
      <c r="T32" s="108">
        <v>860.28300000000002</v>
      </c>
      <c r="U32" s="108">
        <v>834.07500000000005</v>
      </c>
      <c r="V32" s="108">
        <v>978.18200000000002</v>
      </c>
      <c r="W32" s="108">
        <v>1021.222</v>
      </c>
      <c r="X32" s="107">
        <v>846</v>
      </c>
      <c r="Y32" s="108">
        <v>888.22900000000004</v>
      </c>
      <c r="Z32" s="108">
        <v>444.14699999999999</v>
      </c>
      <c r="AA32" s="108">
        <v>572.02300000000002</v>
      </c>
      <c r="AB32" s="108">
        <v>396.00099999999998</v>
      </c>
      <c r="AC32" s="107">
        <v>244</v>
      </c>
      <c r="AD32" s="108">
        <v>225.28899999999999</v>
      </c>
      <c r="AE32" s="108">
        <v>200.36699999999999</v>
      </c>
      <c r="AF32" s="108">
        <v>968.87800000000004</v>
      </c>
      <c r="AG32" s="108">
        <v>1425.192</v>
      </c>
      <c r="AH32" s="108">
        <v>274.56799999999998</v>
      </c>
      <c r="AI32" s="108">
        <v>344.06599999999997</v>
      </c>
      <c r="AJ32" s="108">
        <v>260.27499999999998</v>
      </c>
      <c r="AK32" s="108">
        <v>179.10599999999999</v>
      </c>
    </row>
    <row r="33" spans="1:37" x14ac:dyDescent="0.25">
      <c r="A33" s="104" t="s">
        <v>55</v>
      </c>
      <c r="B33" s="104" t="s">
        <v>51</v>
      </c>
      <c r="C33" s="105">
        <v>-1.5509999999999999</v>
      </c>
      <c r="D33" s="105">
        <v>13.772</v>
      </c>
      <c r="E33" s="106">
        <v>-0.68</v>
      </c>
      <c r="F33" s="106">
        <v>0</v>
      </c>
      <c r="G33" s="106">
        <v>0</v>
      </c>
      <c r="H33" s="106">
        <v>0</v>
      </c>
      <c r="I33" s="106">
        <v>5.3</v>
      </c>
      <c r="J33" s="106">
        <v>0</v>
      </c>
      <c r="K33" s="106">
        <v>1</v>
      </c>
      <c r="L33" s="106">
        <v>-3</v>
      </c>
      <c r="M33" s="106">
        <v>0</v>
      </c>
      <c r="N33" s="106">
        <v>0</v>
      </c>
      <c r="O33" s="106">
        <v>52</v>
      </c>
      <c r="P33" s="106">
        <v>-119</v>
      </c>
      <c r="Q33" s="106">
        <v>-280</v>
      </c>
      <c r="R33" s="105">
        <v>-374.75799999999998</v>
      </c>
      <c r="S33" s="105">
        <v>-443.745</v>
      </c>
      <c r="T33" s="105">
        <v>-15.807</v>
      </c>
      <c r="U33" s="105">
        <v>-1973.8219999999999</v>
      </c>
      <c r="V33" s="105">
        <v>-2564.1219999999998</v>
      </c>
      <c r="W33" s="106">
        <v>-3031.26</v>
      </c>
      <c r="X33" s="105">
        <v>904.79600000000005</v>
      </c>
      <c r="Y33" s="105">
        <v>1839.6289999999999</v>
      </c>
      <c r="Z33" s="106">
        <v>1394.67</v>
      </c>
      <c r="AA33" s="105">
        <v>700.96799999999996</v>
      </c>
      <c r="AB33" s="105">
        <v>827.94200000000001</v>
      </c>
      <c r="AC33" s="105">
        <v>441.94099999999997</v>
      </c>
      <c r="AD33" s="105">
        <v>211.488</v>
      </c>
      <c r="AE33" s="105">
        <v>42.298000000000002</v>
      </c>
      <c r="AF33" s="106">
        <v>-65.459999999999994</v>
      </c>
      <c r="AG33" s="105">
        <v>-152.05500000000001</v>
      </c>
      <c r="AH33" s="105">
        <v>-293.04500000000002</v>
      </c>
      <c r="AI33" s="105">
        <v>-121.81699999999999</v>
      </c>
      <c r="AJ33" s="105">
        <v>87.400999999999996</v>
      </c>
      <c r="AK33" s="106">
        <v>-107.43</v>
      </c>
    </row>
    <row r="34" spans="1:37" x14ac:dyDescent="0.25">
      <c r="A34" s="104" t="s">
        <v>55</v>
      </c>
      <c r="B34" s="104" t="s">
        <v>52</v>
      </c>
      <c r="C34" s="107">
        <v>0</v>
      </c>
      <c r="D34" s="107">
        <v>0</v>
      </c>
      <c r="E34" s="107">
        <v>0</v>
      </c>
      <c r="F34" s="107">
        <v>0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  <c r="L34" s="107">
        <v>0</v>
      </c>
      <c r="M34" s="107">
        <v>0</v>
      </c>
      <c r="N34" s="107">
        <v>0</v>
      </c>
      <c r="O34" s="107">
        <v>0</v>
      </c>
      <c r="P34" s="107">
        <v>0</v>
      </c>
      <c r="Q34" s="107">
        <v>0</v>
      </c>
      <c r="R34" s="107">
        <v>0</v>
      </c>
      <c r="S34" s="107">
        <v>0</v>
      </c>
      <c r="T34" s="107">
        <v>0</v>
      </c>
      <c r="U34" s="107">
        <v>0</v>
      </c>
      <c r="V34" s="107">
        <v>0</v>
      </c>
      <c r="W34" s="107">
        <v>0</v>
      </c>
      <c r="X34" s="107">
        <v>0</v>
      </c>
      <c r="Y34" s="107">
        <v>0</v>
      </c>
      <c r="Z34" s="107">
        <v>0</v>
      </c>
      <c r="AA34" s="107">
        <v>0</v>
      </c>
      <c r="AB34" s="107">
        <v>0</v>
      </c>
      <c r="AC34" s="107">
        <v>0</v>
      </c>
      <c r="AD34" s="107">
        <v>0</v>
      </c>
      <c r="AE34" s="107">
        <v>0</v>
      </c>
      <c r="AF34" s="107">
        <v>0</v>
      </c>
      <c r="AG34" s="107">
        <v>0</v>
      </c>
      <c r="AH34" s="107">
        <v>0</v>
      </c>
      <c r="AI34" s="107">
        <v>0</v>
      </c>
      <c r="AJ34" s="107">
        <v>0</v>
      </c>
      <c r="AK34" s="109" t="s">
        <v>255</v>
      </c>
    </row>
    <row r="35" spans="1:37" x14ac:dyDescent="0.25">
      <c r="A35" s="104" t="s">
        <v>55</v>
      </c>
      <c r="B35" s="104" t="s">
        <v>53</v>
      </c>
      <c r="C35" s="105">
        <v>417.20100000000002</v>
      </c>
      <c r="D35" s="105">
        <v>319.166</v>
      </c>
      <c r="E35" s="106">
        <v>348.68</v>
      </c>
      <c r="F35" s="106">
        <v>325.2</v>
      </c>
      <c r="G35" s="105">
        <v>199.21100000000001</v>
      </c>
      <c r="H35" s="106">
        <v>158</v>
      </c>
      <c r="I35" s="106">
        <v>192.4</v>
      </c>
      <c r="J35" s="106">
        <v>93</v>
      </c>
      <c r="K35" s="106">
        <v>125</v>
      </c>
      <c r="L35" s="106">
        <v>113</v>
      </c>
      <c r="M35" s="105">
        <v>140.61600000000001</v>
      </c>
      <c r="N35" s="105">
        <v>137.88399999999999</v>
      </c>
      <c r="O35" s="105">
        <v>513.02200000000005</v>
      </c>
      <c r="P35" s="105">
        <v>4229.0969999999998</v>
      </c>
      <c r="Q35" s="105">
        <v>9135.3469999999998</v>
      </c>
      <c r="R35" s="105">
        <v>9288.384</v>
      </c>
      <c r="S35" s="105">
        <v>8355.4269999999997</v>
      </c>
      <c r="T35" s="105">
        <v>9625.1990000000005</v>
      </c>
      <c r="U35" s="105">
        <v>8855.9259999999995</v>
      </c>
      <c r="V35" s="105">
        <v>6986.6059999999998</v>
      </c>
      <c r="W35" s="105">
        <v>5926.0330000000004</v>
      </c>
      <c r="X35" s="105">
        <v>11815.083000000001</v>
      </c>
      <c r="Y35" s="106">
        <v>11422.49</v>
      </c>
      <c r="Z35" s="105">
        <v>9003.2659999999996</v>
      </c>
      <c r="AA35" s="106">
        <v>8284.93</v>
      </c>
      <c r="AB35" s="105">
        <v>7503.9449999999997</v>
      </c>
      <c r="AC35" s="105">
        <v>5173.6120000000001</v>
      </c>
      <c r="AD35" s="105">
        <v>4899.9139999999998</v>
      </c>
      <c r="AE35" s="106">
        <v>4919.54</v>
      </c>
      <c r="AF35" s="105">
        <v>3236.1060000000002</v>
      </c>
      <c r="AG35" s="105">
        <v>2464.3440000000001</v>
      </c>
      <c r="AH35" s="106">
        <v>2846.34</v>
      </c>
      <c r="AI35" s="106">
        <v>2306.19</v>
      </c>
      <c r="AJ35" s="105">
        <v>1247.789</v>
      </c>
      <c r="AK35" s="105">
        <v>1029.5450000000001</v>
      </c>
    </row>
    <row r="36" spans="1:37" x14ac:dyDescent="0.25">
      <c r="A36" s="104" t="s">
        <v>56</v>
      </c>
      <c r="B36" s="104" t="s">
        <v>47</v>
      </c>
      <c r="C36" s="107">
        <v>91504</v>
      </c>
      <c r="D36" s="107">
        <v>81426</v>
      </c>
      <c r="E36" s="107">
        <v>80005</v>
      </c>
      <c r="F36" s="107">
        <v>74713</v>
      </c>
      <c r="G36" s="107">
        <v>69097</v>
      </c>
      <c r="H36" s="107">
        <v>71984</v>
      </c>
      <c r="I36" s="107">
        <v>65232</v>
      </c>
      <c r="J36" s="107">
        <v>63869</v>
      </c>
      <c r="K36" s="107">
        <v>55324</v>
      </c>
      <c r="L36" s="107">
        <v>53308</v>
      </c>
      <c r="M36" s="107">
        <v>44233</v>
      </c>
      <c r="N36" s="107">
        <v>42106</v>
      </c>
      <c r="O36" s="107">
        <v>41499</v>
      </c>
      <c r="P36" s="107">
        <v>41296</v>
      </c>
      <c r="Q36" s="107">
        <v>40476</v>
      </c>
      <c r="R36" s="107">
        <v>36378</v>
      </c>
      <c r="S36" s="107">
        <v>35425</v>
      </c>
      <c r="T36" s="107">
        <v>35063</v>
      </c>
      <c r="U36" s="107">
        <v>30090</v>
      </c>
      <c r="V36" s="107">
        <v>23504</v>
      </c>
      <c r="W36" s="107">
        <v>25826</v>
      </c>
      <c r="X36" s="107">
        <v>23923</v>
      </c>
      <c r="Y36" s="107">
        <v>23103</v>
      </c>
      <c r="Z36" s="107">
        <v>21431</v>
      </c>
      <c r="AA36" s="107">
        <v>21617</v>
      </c>
      <c r="AB36" s="107">
        <v>20916</v>
      </c>
      <c r="AC36" s="107">
        <v>18752</v>
      </c>
      <c r="AD36" s="108">
        <v>17678.172999999999</v>
      </c>
      <c r="AE36" s="108">
        <v>15752.063</v>
      </c>
      <c r="AF36" s="107">
        <v>14103.6</v>
      </c>
      <c r="AG36" s="108">
        <v>13299.128000000001</v>
      </c>
      <c r="AH36" s="108">
        <v>14085.578</v>
      </c>
      <c r="AI36" s="108">
        <v>13228.432000000001</v>
      </c>
      <c r="AJ36" s="108">
        <v>12442.679</v>
      </c>
      <c r="AK36" s="108">
        <v>11909.465</v>
      </c>
    </row>
    <row r="37" spans="1:37" x14ac:dyDescent="0.25">
      <c r="A37" s="104" t="s">
        <v>56</v>
      </c>
      <c r="B37" s="104" t="s">
        <v>48</v>
      </c>
      <c r="C37" s="106">
        <v>0</v>
      </c>
      <c r="D37" s="106">
        <v>0</v>
      </c>
      <c r="E37" s="106">
        <v>1</v>
      </c>
      <c r="F37" s="106">
        <v>0</v>
      </c>
      <c r="G37" s="106">
        <v>0</v>
      </c>
      <c r="H37" s="106">
        <v>28</v>
      </c>
      <c r="I37" s="106">
        <v>51</v>
      </c>
      <c r="J37" s="106">
        <v>150</v>
      </c>
      <c r="K37" s="106">
        <v>0</v>
      </c>
      <c r="L37" s="106">
        <v>0</v>
      </c>
      <c r="M37" s="106">
        <v>0</v>
      </c>
      <c r="N37" s="106">
        <v>0</v>
      </c>
      <c r="O37" s="106">
        <v>0</v>
      </c>
      <c r="P37" s="106">
        <v>0</v>
      </c>
      <c r="Q37" s="106">
        <v>0</v>
      </c>
      <c r="R37" s="106">
        <v>0</v>
      </c>
      <c r="S37" s="106">
        <v>0</v>
      </c>
      <c r="T37" s="106">
        <v>0</v>
      </c>
      <c r="U37" s="106">
        <v>0</v>
      </c>
      <c r="V37" s="106">
        <v>0</v>
      </c>
      <c r="W37" s="106">
        <v>0</v>
      </c>
      <c r="X37" s="106">
        <v>17</v>
      </c>
      <c r="Y37" s="106">
        <v>37</v>
      </c>
      <c r="Z37" s="106">
        <v>0</v>
      </c>
      <c r="AA37" s="106">
        <v>0</v>
      </c>
      <c r="AB37" s="106">
        <v>0</v>
      </c>
      <c r="AC37" s="106">
        <v>0</v>
      </c>
      <c r="AD37" s="106">
        <v>0</v>
      </c>
      <c r="AE37" s="106">
        <v>0</v>
      </c>
      <c r="AF37" s="106">
        <v>0</v>
      </c>
      <c r="AG37" s="106">
        <v>0</v>
      </c>
      <c r="AH37" s="106">
        <v>0</v>
      </c>
      <c r="AI37" s="106">
        <v>0</v>
      </c>
      <c r="AJ37" s="105">
        <v>93.691000000000003</v>
      </c>
      <c r="AK37" s="106">
        <v>0</v>
      </c>
    </row>
    <row r="38" spans="1:37" x14ac:dyDescent="0.25">
      <c r="A38" s="104" t="s">
        <v>56</v>
      </c>
      <c r="B38" s="104" t="s">
        <v>49</v>
      </c>
      <c r="C38" s="107">
        <v>49255</v>
      </c>
      <c r="D38" s="107">
        <v>45327</v>
      </c>
      <c r="E38" s="107">
        <v>46085</v>
      </c>
      <c r="F38" s="107">
        <v>42312</v>
      </c>
      <c r="G38" s="107">
        <v>45028</v>
      </c>
      <c r="H38" s="108">
        <v>47755.771999999997</v>
      </c>
      <c r="I38" s="108">
        <v>47445.887000000002</v>
      </c>
      <c r="J38" s="108">
        <v>49995.356</v>
      </c>
      <c r="K38" s="107">
        <v>50022.82</v>
      </c>
      <c r="L38" s="107">
        <v>44055.03</v>
      </c>
      <c r="M38" s="108">
        <v>44135.506999999998</v>
      </c>
      <c r="N38" s="108">
        <v>43027.911</v>
      </c>
      <c r="O38" s="108">
        <v>41056.065999999999</v>
      </c>
      <c r="P38" s="108">
        <v>39517.998</v>
      </c>
      <c r="Q38" s="108">
        <v>44864.103999999999</v>
      </c>
      <c r="R38" s="108">
        <v>45224.220999999998</v>
      </c>
      <c r="S38" s="108">
        <v>47252.938999999998</v>
      </c>
      <c r="T38" s="107">
        <v>50358.25</v>
      </c>
      <c r="U38" s="108">
        <v>49136.165000000001</v>
      </c>
      <c r="V38" s="108">
        <v>30549.510999999999</v>
      </c>
      <c r="W38" s="107">
        <v>40875.15</v>
      </c>
      <c r="X38" s="108">
        <v>40127.987999999998</v>
      </c>
      <c r="Y38" s="108">
        <v>38724.898999999998</v>
      </c>
      <c r="Z38" s="108">
        <v>36469.843000000001</v>
      </c>
      <c r="AA38" s="108">
        <v>38396.796999999999</v>
      </c>
      <c r="AB38" s="108">
        <v>34852.894</v>
      </c>
      <c r="AC38" s="108">
        <v>39701.995000000003</v>
      </c>
      <c r="AD38" s="108">
        <v>41749.625</v>
      </c>
      <c r="AE38" s="108">
        <v>41233.328999999998</v>
      </c>
      <c r="AF38" s="108">
        <v>38364.364999999998</v>
      </c>
      <c r="AG38" s="108">
        <v>31435.421999999999</v>
      </c>
      <c r="AH38" s="108">
        <v>33909.713000000003</v>
      </c>
      <c r="AI38" s="107">
        <v>34188.720000000001</v>
      </c>
      <c r="AJ38" s="108">
        <v>31964.361000000001</v>
      </c>
      <c r="AK38" s="108">
        <v>30463.144</v>
      </c>
    </row>
    <row r="39" spans="1:37" x14ac:dyDescent="0.25">
      <c r="A39" s="104" t="s">
        <v>56</v>
      </c>
      <c r="B39" s="104" t="s">
        <v>50</v>
      </c>
      <c r="C39" s="106">
        <v>19732</v>
      </c>
      <c r="D39" s="106">
        <v>16450</v>
      </c>
      <c r="E39" s="106">
        <v>16312</v>
      </c>
      <c r="F39" s="106">
        <v>17395</v>
      </c>
      <c r="G39" s="106">
        <v>15811</v>
      </c>
      <c r="H39" s="106">
        <v>18207</v>
      </c>
      <c r="I39" s="106">
        <v>14821</v>
      </c>
      <c r="J39" s="106">
        <v>12971</v>
      </c>
      <c r="K39" s="106">
        <v>10207</v>
      </c>
      <c r="L39" s="106">
        <v>10187</v>
      </c>
      <c r="M39" s="106">
        <v>8805</v>
      </c>
      <c r="N39" s="106">
        <v>6965</v>
      </c>
      <c r="O39" s="106">
        <v>6915</v>
      </c>
      <c r="P39" s="106">
        <v>6472</v>
      </c>
      <c r="Q39" s="106">
        <v>6357</v>
      </c>
      <c r="R39" s="106">
        <v>6424</v>
      </c>
      <c r="S39" s="106">
        <v>8046</v>
      </c>
      <c r="T39" s="105">
        <v>7288.0730000000003</v>
      </c>
      <c r="U39" s="106">
        <v>5845</v>
      </c>
      <c r="V39" s="106">
        <v>5898</v>
      </c>
      <c r="W39" s="106">
        <v>5537</v>
      </c>
      <c r="X39" s="106">
        <v>4296</v>
      </c>
      <c r="Y39" s="106">
        <v>4734</v>
      </c>
      <c r="Z39" s="106">
        <v>4516</v>
      </c>
      <c r="AA39" s="106">
        <v>4557</v>
      </c>
      <c r="AB39" s="105">
        <v>4202.8130000000001</v>
      </c>
      <c r="AC39" s="106">
        <v>4526</v>
      </c>
      <c r="AD39" s="105">
        <v>4219.7139999999999</v>
      </c>
      <c r="AE39" s="105">
        <v>4117.2489999999998</v>
      </c>
      <c r="AF39" s="105">
        <v>3461.4569999999999</v>
      </c>
      <c r="AG39" s="105">
        <v>3156.3110000000001</v>
      </c>
      <c r="AH39" s="105">
        <v>4430.2240000000002</v>
      </c>
      <c r="AI39" s="105">
        <v>3960.4769999999999</v>
      </c>
      <c r="AJ39" s="105">
        <v>3860.1039999999998</v>
      </c>
      <c r="AK39" s="105">
        <v>3294.1689999999999</v>
      </c>
    </row>
    <row r="40" spans="1:37" x14ac:dyDescent="0.25">
      <c r="A40" s="104" t="s">
        <v>56</v>
      </c>
      <c r="B40" s="104" t="s">
        <v>51</v>
      </c>
      <c r="C40" s="107">
        <v>288</v>
      </c>
      <c r="D40" s="107">
        <v>454</v>
      </c>
      <c r="E40" s="107">
        <v>-4333</v>
      </c>
      <c r="F40" s="107">
        <v>-506</v>
      </c>
      <c r="G40" s="107">
        <v>3509</v>
      </c>
      <c r="H40" s="108">
        <v>678.22799999999995</v>
      </c>
      <c r="I40" s="108">
        <v>11.113</v>
      </c>
      <c r="J40" s="108">
        <v>-1222.356</v>
      </c>
      <c r="K40" s="107">
        <v>671.18</v>
      </c>
      <c r="L40" s="107">
        <v>-4.03</v>
      </c>
      <c r="M40" s="108">
        <v>947.49300000000005</v>
      </c>
      <c r="N40" s="108">
        <v>-637.91099999999994</v>
      </c>
      <c r="O40" s="108">
        <v>-169.066</v>
      </c>
      <c r="P40" s="108">
        <v>1231.002</v>
      </c>
      <c r="Q40" s="108">
        <v>-223.10400000000001</v>
      </c>
      <c r="R40" s="108">
        <v>-1527.721</v>
      </c>
      <c r="S40" s="108">
        <v>1127.2750000000001</v>
      </c>
      <c r="T40" s="108">
        <v>30.808</v>
      </c>
      <c r="U40" s="108">
        <v>-1168.876</v>
      </c>
      <c r="V40" s="108">
        <v>2925.2559999999999</v>
      </c>
      <c r="W40" s="108">
        <v>-1633.752</v>
      </c>
      <c r="X40" s="108">
        <v>469.01299999999998</v>
      </c>
      <c r="Y40" s="108">
        <v>3735.7579999999998</v>
      </c>
      <c r="Z40" s="108">
        <v>838.00699999999995</v>
      </c>
      <c r="AA40" s="108">
        <v>-218.48099999999999</v>
      </c>
      <c r="AB40" s="108">
        <v>659.88499999999999</v>
      </c>
      <c r="AC40" s="107">
        <v>660.34</v>
      </c>
      <c r="AD40" s="107">
        <v>287.19</v>
      </c>
      <c r="AE40" s="108">
        <v>1281.3679999999999</v>
      </c>
      <c r="AF40" s="108">
        <v>-671.64300000000003</v>
      </c>
      <c r="AG40" s="108">
        <v>1252.0029999999999</v>
      </c>
      <c r="AH40" s="108">
        <v>307.541</v>
      </c>
      <c r="AI40" s="108">
        <v>-232.73699999999999</v>
      </c>
      <c r="AJ40" s="108">
        <v>118.625</v>
      </c>
      <c r="AK40" s="108">
        <v>-192.00399999999999</v>
      </c>
    </row>
    <row r="41" spans="1:37" x14ac:dyDescent="0.25">
      <c r="A41" s="104" t="s">
        <v>56</v>
      </c>
      <c r="B41" s="104" t="s">
        <v>52</v>
      </c>
      <c r="C41" s="106">
        <v>0</v>
      </c>
      <c r="D41" s="106">
        <v>0</v>
      </c>
      <c r="E41" s="106">
        <v>0</v>
      </c>
      <c r="F41" s="106">
        <v>0</v>
      </c>
      <c r="G41" s="106">
        <v>0</v>
      </c>
      <c r="H41" s="106">
        <v>0</v>
      </c>
      <c r="I41" s="106">
        <v>0</v>
      </c>
      <c r="J41" s="106">
        <v>0</v>
      </c>
      <c r="K41" s="106">
        <v>0</v>
      </c>
      <c r="L41" s="106">
        <v>0</v>
      </c>
      <c r="M41" s="106">
        <v>0</v>
      </c>
      <c r="N41" s="106">
        <v>0</v>
      </c>
      <c r="O41" s="106">
        <v>0</v>
      </c>
      <c r="P41" s="106">
        <v>0</v>
      </c>
      <c r="Q41" s="106">
        <v>0</v>
      </c>
      <c r="R41" s="106">
        <v>0</v>
      </c>
      <c r="S41" s="106">
        <v>0</v>
      </c>
      <c r="T41" s="106">
        <v>0</v>
      </c>
      <c r="U41" s="106">
        <v>0</v>
      </c>
      <c r="V41" s="106">
        <v>0</v>
      </c>
      <c r="W41" s="106">
        <v>0</v>
      </c>
      <c r="X41" s="106">
        <v>0</v>
      </c>
      <c r="Y41" s="106">
        <v>0</v>
      </c>
      <c r="Z41" s="106">
        <v>0</v>
      </c>
      <c r="AA41" s="106">
        <v>0</v>
      </c>
      <c r="AB41" s="106">
        <v>0</v>
      </c>
      <c r="AC41" s="106">
        <v>0</v>
      </c>
      <c r="AD41" s="106">
        <v>0</v>
      </c>
      <c r="AE41" s="106">
        <v>0</v>
      </c>
      <c r="AF41" s="106">
        <v>0</v>
      </c>
      <c r="AG41" s="106">
        <v>0</v>
      </c>
      <c r="AH41" s="106">
        <v>0</v>
      </c>
      <c r="AI41" s="106">
        <v>0</v>
      </c>
      <c r="AJ41" s="106">
        <v>0</v>
      </c>
      <c r="AK41" s="110" t="s">
        <v>255</v>
      </c>
    </row>
    <row r="42" spans="1:37" x14ac:dyDescent="0.25">
      <c r="A42" s="104" t="s">
        <v>56</v>
      </c>
      <c r="B42" s="104" t="s">
        <v>53</v>
      </c>
      <c r="C42" s="107">
        <v>121315</v>
      </c>
      <c r="D42" s="107">
        <v>110757</v>
      </c>
      <c r="E42" s="107">
        <v>105446</v>
      </c>
      <c r="F42" s="107">
        <v>99124</v>
      </c>
      <c r="G42" s="107">
        <v>101823</v>
      </c>
      <c r="H42" s="107">
        <v>102239</v>
      </c>
      <c r="I42" s="107">
        <v>97919</v>
      </c>
      <c r="J42" s="107">
        <v>99821</v>
      </c>
      <c r="K42" s="107">
        <v>95811</v>
      </c>
      <c r="L42" s="107">
        <v>87172</v>
      </c>
      <c r="M42" s="107">
        <v>80511</v>
      </c>
      <c r="N42" s="107">
        <v>77531</v>
      </c>
      <c r="O42" s="107">
        <v>75471</v>
      </c>
      <c r="P42" s="107">
        <v>75573</v>
      </c>
      <c r="Q42" s="107">
        <v>78760</v>
      </c>
      <c r="R42" s="107">
        <v>73650.5</v>
      </c>
      <c r="S42" s="108">
        <v>75759.214000000007</v>
      </c>
      <c r="T42" s="108">
        <v>78163.985000000001</v>
      </c>
      <c r="U42" s="108">
        <v>72212.289000000004</v>
      </c>
      <c r="V42" s="108">
        <v>51080.767</v>
      </c>
      <c r="W42" s="108">
        <v>59530.398000000001</v>
      </c>
      <c r="X42" s="108">
        <v>60241.000999999997</v>
      </c>
      <c r="Y42" s="108">
        <v>60866.656999999999</v>
      </c>
      <c r="Z42" s="107">
        <v>54222.85</v>
      </c>
      <c r="AA42" s="108">
        <v>55238.315999999999</v>
      </c>
      <c r="AB42" s="108">
        <v>52225.966</v>
      </c>
      <c r="AC42" s="108">
        <v>54588.334999999999</v>
      </c>
      <c r="AD42" s="108">
        <v>55495.273999999998</v>
      </c>
      <c r="AE42" s="108">
        <v>54149.510999999999</v>
      </c>
      <c r="AF42" s="108">
        <v>48334.864999999998</v>
      </c>
      <c r="AG42" s="108">
        <v>42830.241999999998</v>
      </c>
      <c r="AH42" s="108">
        <v>43872.608</v>
      </c>
      <c r="AI42" s="108">
        <v>43223.938000000002</v>
      </c>
      <c r="AJ42" s="108">
        <v>40759.252</v>
      </c>
      <c r="AK42" s="108">
        <v>38886.436000000002</v>
      </c>
    </row>
    <row r="43" spans="1:37" x14ac:dyDescent="0.25">
      <c r="A43" s="104" t="s">
        <v>57</v>
      </c>
      <c r="B43" s="104" t="s">
        <v>47</v>
      </c>
      <c r="C43" s="105">
        <v>185916.505</v>
      </c>
      <c r="D43" s="105">
        <v>179610.997</v>
      </c>
      <c r="E43" s="105">
        <v>171044.274</v>
      </c>
      <c r="F43" s="106">
        <v>162031.6</v>
      </c>
      <c r="G43" s="105">
        <v>162259.20499999999</v>
      </c>
      <c r="H43" s="106">
        <v>161312.20000000001</v>
      </c>
      <c r="I43" s="106">
        <v>162592.4</v>
      </c>
      <c r="J43" s="106">
        <v>160665.5</v>
      </c>
      <c r="K43" s="106">
        <v>138922.79999999999</v>
      </c>
      <c r="L43" s="106">
        <v>130740.3</v>
      </c>
      <c r="M43" s="106">
        <v>125099</v>
      </c>
      <c r="N43" s="106">
        <v>119779</v>
      </c>
      <c r="O43" s="106">
        <v>116405</v>
      </c>
      <c r="P43" s="106">
        <v>112306</v>
      </c>
      <c r="Q43" s="106">
        <v>106043</v>
      </c>
      <c r="R43" s="106">
        <v>104772</v>
      </c>
      <c r="S43" s="106">
        <v>98767</v>
      </c>
      <c r="T43" s="106">
        <v>92017</v>
      </c>
      <c r="U43" s="106">
        <v>87718</v>
      </c>
      <c r="V43" s="106">
        <v>81023</v>
      </c>
      <c r="W43" s="106">
        <v>76759</v>
      </c>
      <c r="X43" s="106">
        <v>75778</v>
      </c>
      <c r="Y43" s="106">
        <v>78861</v>
      </c>
      <c r="Z43" s="106">
        <v>71716</v>
      </c>
      <c r="AA43" s="106">
        <v>67332</v>
      </c>
      <c r="AB43" s="106">
        <v>65547</v>
      </c>
      <c r="AC43" s="106">
        <v>61829</v>
      </c>
      <c r="AD43" s="105">
        <v>56820.118999999999</v>
      </c>
      <c r="AE43" s="106">
        <v>54423.03</v>
      </c>
      <c r="AF43" s="105">
        <v>50951.902999999998</v>
      </c>
      <c r="AG43" s="105">
        <v>43232.218999999997</v>
      </c>
      <c r="AH43" s="105">
        <v>43099.680999999997</v>
      </c>
      <c r="AI43" s="105">
        <v>41284.082999999999</v>
      </c>
      <c r="AJ43" s="106">
        <v>37279.11</v>
      </c>
      <c r="AK43" s="105">
        <v>33386.370999999999</v>
      </c>
    </row>
    <row r="44" spans="1:37" x14ac:dyDescent="0.25">
      <c r="A44" s="104" t="s">
        <v>57</v>
      </c>
      <c r="B44" s="104" t="s">
        <v>48</v>
      </c>
      <c r="C44" s="107">
        <v>1138</v>
      </c>
      <c r="D44" s="107">
        <v>1928</v>
      </c>
      <c r="E44" s="107">
        <v>1305</v>
      </c>
      <c r="F44" s="107">
        <v>983</v>
      </c>
      <c r="G44" s="107">
        <v>1456</v>
      </c>
      <c r="H44" s="107">
        <v>3060</v>
      </c>
      <c r="I44" s="107">
        <v>2197</v>
      </c>
      <c r="J44" s="107">
        <v>1534</v>
      </c>
      <c r="K44" s="107">
        <v>1107</v>
      </c>
      <c r="L44" s="107">
        <v>1516</v>
      </c>
      <c r="M44" s="107">
        <v>1750</v>
      </c>
      <c r="N44" s="107">
        <v>1087</v>
      </c>
      <c r="O44" s="107">
        <v>1419</v>
      </c>
      <c r="P44" s="107">
        <v>1719</v>
      </c>
      <c r="Q44" s="107">
        <v>3701</v>
      </c>
      <c r="R44" s="107">
        <v>1411</v>
      </c>
      <c r="S44" s="107">
        <v>1268</v>
      </c>
      <c r="T44" s="107">
        <v>1508</v>
      </c>
      <c r="U44" s="107">
        <v>961</v>
      </c>
      <c r="V44" s="107">
        <v>826</v>
      </c>
      <c r="W44" s="107">
        <v>1022</v>
      </c>
      <c r="X44" s="107">
        <v>1108</v>
      </c>
      <c r="Y44" s="107">
        <v>1071</v>
      </c>
      <c r="Z44" s="107">
        <v>1048</v>
      </c>
      <c r="AA44" s="107">
        <v>1302</v>
      </c>
      <c r="AB44" s="107">
        <v>766</v>
      </c>
      <c r="AC44" s="107">
        <v>694</v>
      </c>
      <c r="AD44" s="108">
        <v>738.37900000000002</v>
      </c>
      <c r="AE44" s="108">
        <v>669.27800000000002</v>
      </c>
      <c r="AF44" s="108">
        <v>578.12800000000004</v>
      </c>
      <c r="AG44" s="108">
        <v>393.11200000000002</v>
      </c>
      <c r="AH44" s="108">
        <v>370.64400000000001</v>
      </c>
      <c r="AI44" s="108">
        <v>378.529</v>
      </c>
      <c r="AJ44" s="108">
        <v>286.70100000000002</v>
      </c>
      <c r="AK44" s="108">
        <v>408.21300000000002</v>
      </c>
    </row>
    <row r="45" spans="1:37" x14ac:dyDescent="0.25">
      <c r="A45" s="104" t="s">
        <v>57</v>
      </c>
      <c r="B45" s="104" t="s">
        <v>49</v>
      </c>
      <c r="C45" s="106">
        <v>98552</v>
      </c>
      <c r="D45" s="106">
        <v>105355</v>
      </c>
      <c r="E45" s="106">
        <v>102436.3</v>
      </c>
      <c r="F45" s="106">
        <v>84919</v>
      </c>
      <c r="G45" s="106">
        <v>89457.5</v>
      </c>
      <c r="H45" s="106">
        <v>95880.2</v>
      </c>
      <c r="I45" s="106">
        <v>97442</v>
      </c>
      <c r="J45" s="106">
        <v>96967.2</v>
      </c>
      <c r="K45" s="106">
        <v>97739.7</v>
      </c>
      <c r="L45" s="106">
        <v>98271.1</v>
      </c>
      <c r="M45" s="106">
        <v>111312.15</v>
      </c>
      <c r="N45" s="105">
        <v>116727.553</v>
      </c>
      <c r="O45" s="105">
        <v>121950.69500000001</v>
      </c>
      <c r="P45" s="105">
        <v>127001.014</v>
      </c>
      <c r="Q45" s="105">
        <v>134288.592</v>
      </c>
      <c r="R45" s="105">
        <v>125001.625</v>
      </c>
      <c r="S45" s="105">
        <v>136957.478</v>
      </c>
      <c r="T45" s="105">
        <v>135542.93900000001</v>
      </c>
      <c r="U45" s="105">
        <v>132818.647</v>
      </c>
      <c r="V45" s="105">
        <v>118954.598</v>
      </c>
      <c r="W45" s="105">
        <v>118869.73299999999</v>
      </c>
      <c r="X45" s="105">
        <v>128373.202</v>
      </c>
      <c r="Y45" s="105">
        <v>129831.255</v>
      </c>
      <c r="Z45" s="105">
        <v>126770.27499999999</v>
      </c>
      <c r="AA45" s="106">
        <v>125273.71</v>
      </c>
      <c r="AB45" s="105">
        <v>127052.777</v>
      </c>
      <c r="AC45" s="105">
        <v>117330.38800000001</v>
      </c>
      <c r="AD45" s="105">
        <v>118248.436</v>
      </c>
      <c r="AE45" s="106">
        <v>109200.61</v>
      </c>
      <c r="AF45" s="105">
        <v>82798.274000000005</v>
      </c>
      <c r="AG45" s="105">
        <v>52231.288</v>
      </c>
      <c r="AH45" s="105">
        <v>66920.290999999997</v>
      </c>
      <c r="AI45" s="105">
        <v>89776.315000000002</v>
      </c>
      <c r="AJ45" s="106">
        <v>59037.53</v>
      </c>
      <c r="AK45" s="105">
        <v>35864.885999999999</v>
      </c>
    </row>
    <row r="46" spans="1:37" x14ac:dyDescent="0.25">
      <c r="A46" s="104" t="s">
        <v>57</v>
      </c>
      <c r="B46" s="104" t="s">
        <v>50</v>
      </c>
      <c r="C46" s="107">
        <v>20190</v>
      </c>
      <c r="D46" s="107">
        <v>16257</v>
      </c>
      <c r="E46" s="107">
        <v>14615</v>
      </c>
      <c r="F46" s="107">
        <v>13283</v>
      </c>
      <c r="G46" s="107">
        <v>21862</v>
      </c>
      <c r="H46" s="107">
        <v>23780</v>
      </c>
      <c r="I46" s="107">
        <v>23537</v>
      </c>
      <c r="J46" s="107">
        <v>25560.1</v>
      </c>
      <c r="K46" s="107">
        <v>26517</v>
      </c>
      <c r="L46" s="107">
        <v>21772</v>
      </c>
      <c r="M46" s="107">
        <v>22247</v>
      </c>
      <c r="N46" s="107">
        <v>24082</v>
      </c>
      <c r="O46" s="107">
        <v>22990</v>
      </c>
      <c r="P46" s="107">
        <v>19931</v>
      </c>
      <c r="Q46" s="107">
        <v>19745</v>
      </c>
      <c r="R46" s="108">
        <v>19296.501</v>
      </c>
      <c r="S46" s="108">
        <v>16065.218000000001</v>
      </c>
      <c r="T46" s="108">
        <v>13804.904</v>
      </c>
      <c r="U46" s="108">
        <v>11816.651</v>
      </c>
      <c r="V46" s="108">
        <v>10815.027</v>
      </c>
      <c r="W46" s="108">
        <v>12355.859</v>
      </c>
      <c r="X46" s="108">
        <v>9858.6749999999993</v>
      </c>
      <c r="Y46" s="108">
        <v>9687.7019999999993</v>
      </c>
      <c r="Z46" s="108">
        <v>12363.022999999999</v>
      </c>
      <c r="AA46" s="108">
        <v>10315.385</v>
      </c>
      <c r="AB46" s="108">
        <v>9689.6769999999997</v>
      </c>
      <c r="AC46" s="107">
        <v>8644.84</v>
      </c>
      <c r="AD46" s="108">
        <v>5580.0119999999997</v>
      </c>
      <c r="AE46" s="108">
        <v>3049.3429999999998</v>
      </c>
      <c r="AF46" s="107">
        <v>3499.63</v>
      </c>
      <c r="AG46" s="108">
        <v>3722.6219999999998</v>
      </c>
      <c r="AH46" s="108">
        <v>5482.9849999999997</v>
      </c>
      <c r="AI46" s="108">
        <v>4468.0709999999999</v>
      </c>
      <c r="AJ46" s="108">
        <v>6171.241</v>
      </c>
      <c r="AK46" s="107">
        <v>4412.62</v>
      </c>
    </row>
    <row r="47" spans="1:37" x14ac:dyDescent="0.25">
      <c r="A47" s="104" t="s">
        <v>57</v>
      </c>
      <c r="B47" s="104" t="s">
        <v>51</v>
      </c>
      <c r="C47" s="106">
        <v>2717.1</v>
      </c>
      <c r="D47" s="105">
        <v>2649.5419999999999</v>
      </c>
      <c r="E47" s="105">
        <v>-6643.3190000000004</v>
      </c>
      <c r="F47" s="106">
        <v>8478.82</v>
      </c>
      <c r="G47" s="105">
        <v>5751.6559999999999</v>
      </c>
      <c r="H47" s="106">
        <v>1599.7</v>
      </c>
      <c r="I47" s="106">
        <v>7305.5</v>
      </c>
      <c r="J47" s="106">
        <v>-2506</v>
      </c>
      <c r="K47" s="106">
        <v>9331.4</v>
      </c>
      <c r="L47" s="106">
        <v>3447.7</v>
      </c>
      <c r="M47" s="106">
        <v>4131.3</v>
      </c>
      <c r="N47" s="105">
        <v>6138.3010000000004</v>
      </c>
      <c r="O47" s="105">
        <v>1330.6769999999999</v>
      </c>
      <c r="P47" s="105">
        <v>4432.4089999999997</v>
      </c>
      <c r="Q47" s="105">
        <v>-2856.9650000000001</v>
      </c>
      <c r="R47" s="106">
        <v>-136.6</v>
      </c>
      <c r="S47" s="105">
        <v>1536.175</v>
      </c>
      <c r="T47" s="105">
        <v>7476.567</v>
      </c>
      <c r="U47" s="105">
        <v>-8227.1659999999993</v>
      </c>
      <c r="V47" s="106">
        <v>-6549.56</v>
      </c>
      <c r="W47" s="105">
        <v>11091.013000000001</v>
      </c>
      <c r="X47" s="105">
        <v>-2856.0509999999999</v>
      </c>
      <c r="Y47" s="105">
        <v>-8456.5190000000002</v>
      </c>
      <c r="Z47" s="105">
        <v>9737.9750000000004</v>
      </c>
      <c r="AA47" s="105">
        <v>-1708.829</v>
      </c>
      <c r="AB47" s="105">
        <v>4634.1329999999998</v>
      </c>
      <c r="AC47" s="105">
        <v>9791.268</v>
      </c>
      <c r="AD47" s="105">
        <v>1522.7670000000001</v>
      </c>
      <c r="AE47" s="105">
        <v>950.45699999999999</v>
      </c>
      <c r="AF47" s="106">
        <v>-3557.65</v>
      </c>
      <c r="AG47" s="105">
        <v>7449.2430000000004</v>
      </c>
      <c r="AH47" s="105">
        <v>14587.444</v>
      </c>
      <c r="AI47" s="105">
        <v>-8850.8289999999997</v>
      </c>
      <c r="AJ47" s="105">
        <v>-3705.9780000000001</v>
      </c>
      <c r="AK47" s="105">
        <v>5761.0219999999999</v>
      </c>
    </row>
    <row r="48" spans="1:37" x14ac:dyDescent="0.25">
      <c r="A48" s="104" t="s">
        <v>57</v>
      </c>
      <c r="B48" s="104" t="s">
        <v>52</v>
      </c>
      <c r="C48" s="107">
        <v>0</v>
      </c>
      <c r="D48" s="107">
        <v>0</v>
      </c>
      <c r="E48" s="107">
        <v>0</v>
      </c>
      <c r="F48" s="107">
        <v>0</v>
      </c>
      <c r="G48" s="107">
        <v>0</v>
      </c>
      <c r="H48" s="107">
        <v>0</v>
      </c>
      <c r="I48" s="107">
        <v>0</v>
      </c>
      <c r="J48" s="107">
        <v>0</v>
      </c>
      <c r="K48" s="107">
        <v>0</v>
      </c>
      <c r="L48" s="107">
        <v>0</v>
      </c>
      <c r="M48" s="107">
        <v>0</v>
      </c>
      <c r="N48" s="107">
        <v>0</v>
      </c>
      <c r="O48" s="107">
        <v>0</v>
      </c>
      <c r="P48" s="107">
        <v>0</v>
      </c>
      <c r="Q48" s="107">
        <v>0</v>
      </c>
      <c r="R48" s="107">
        <v>0</v>
      </c>
      <c r="S48" s="107">
        <v>0</v>
      </c>
      <c r="T48" s="107">
        <v>0</v>
      </c>
      <c r="U48" s="107">
        <v>0</v>
      </c>
      <c r="V48" s="107">
        <v>0</v>
      </c>
      <c r="W48" s="107">
        <v>0</v>
      </c>
      <c r="X48" s="107">
        <v>0</v>
      </c>
      <c r="Y48" s="107">
        <v>0</v>
      </c>
      <c r="Z48" s="107">
        <v>0</v>
      </c>
      <c r="AA48" s="107">
        <v>0</v>
      </c>
      <c r="AB48" s="107">
        <v>0</v>
      </c>
      <c r="AC48" s="107">
        <v>0</v>
      </c>
      <c r="AD48" s="107">
        <v>0</v>
      </c>
      <c r="AE48" s="107">
        <v>0</v>
      </c>
      <c r="AF48" s="107">
        <v>0</v>
      </c>
      <c r="AG48" s="107">
        <v>0</v>
      </c>
      <c r="AH48" s="107">
        <v>0</v>
      </c>
      <c r="AI48" s="107">
        <v>0</v>
      </c>
      <c r="AJ48" s="107">
        <v>0</v>
      </c>
      <c r="AK48" s="109" t="s">
        <v>255</v>
      </c>
    </row>
    <row r="49" spans="1:37" x14ac:dyDescent="0.25">
      <c r="A49" s="104" t="s">
        <v>57</v>
      </c>
      <c r="B49" s="104" t="s">
        <v>53</v>
      </c>
      <c r="C49" s="105">
        <v>268133.60499999998</v>
      </c>
      <c r="D49" s="105">
        <v>273286.53899999999</v>
      </c>
      <c r="E49" s="105">
        <v>253527.255</v>
      </c>
      <c r="F49" s="106">
        <v>243129.42</v>
      </c>
      <c r="G49" s="105">
        <v>237062.361</v>
      </c>
      <c r="H49" s="106">
        <v>238072.1</v>
      </c>
      <c r="I49" s="106">
        <v>245999.9</v>
      </c>
      <c r="J49" s="106">
        <v>231100.6</v>
      </c>
      <c r="K49" s="106">
        <v>220583.9</v>
      </c>
      <c r="L49" s="106">
        <v>212203.1</v>
      </c>
      <c r="M49" s="106">
        <v>220045.45</v>
      </c>
      <c r="N49" s="105">
        <v>219649.85399999999</v>
      </c>
      <c r="O49" s="105">
        <v>218115.372</v>
      </c>
      <c r="P49" s="105">
        <v>225527.42300000001</v>
      </c>
      <c r="Q49" s="105">
        <v>221430.62700000001</v>
      </c>
      <c r="R49" s="105">
        <v>211751.524</v>
      </c>
      <c r="S49" s="105">
        <v>222463.435</v>
      </c>
      <c r="T49" s="105">
        <v>222739.60200000001</v>
      </c>
      <c r="U49" s="106">
        <v>201453.83</v>
      </c>
      <c r="V49" s="105">
        <v>183439.011</v>
      </c>
      <c r="W49" s="105">
        <v>195385.88699999999</v>
      </c>
      <c r="X49" s="105">
        <v>192544.476</v>
      </c>
      <c r="Y49" s="105">
        <v>191619.03400000001</v>
      </c>
      <c r="Z49" s="105">
        <v>196909.22700000001</v>
      </c>
      <c r="AA49" s="105">
        <v>181883.49600000001</v>
      </c>
      <c r="AB49" s="105">
        <v>188310.23300000001</v>
      </c>
      <c r="AC49" s="105">
        <v>180999.81599999999</v>
      </c>
      <c r="AD49" s="105">
        <v>171749.68900000001</v>
      </c>
      <c r="AE49" s="105">
        <v>162194.03200000001</v>
      </c>
      <c r="AF49" s="105">
        <v>127271.02499999999</v>
      </c>
      <c r="AG49" s="106">
        <v>99583.24</v>
      </c>
      <c r="AH49" s="105">
        <v>119495.075</v>
      </c>
      <c r="AI49" s="105">
        <v>118120.027</v>
      </c>
      <c r="AJ49" s="105">
        <v>86726.122000000003</v>
      </c>
      <c r="AK49" s="105">
        <v>71007.870999999999</v>
      </c>
    </row>
    <row r="50" spans="1:37" x14ac:dyDescent="0.25">
      <c r="A50" s="104" t="s">
        <v>58</v>
      </c>
      <c r="B50" s="104" t="s">
        <v>47</v>
      </c>
      <c r="C50" s="108">
        <v>676316.24699999997</v>
      </c>
      <c r="D50" s="107">
        <v>586481.80000000005</v>
      </c>
      <c r="E50" s="107">
        <v>543955</v>
      </c>
      <c r="F50" s="107">
        <v>524051.5</v>
      </c>
      <c r="G50" s="107">
        <v>499214</v>
      </c>
      <c r="H50" s="107">
        <v>483626</v>
      </c>
      <c r="I50" s="107">
        <v>482844.9</v>
      </c>
      <c r="J50" s="107">
        <v>459262</v>
      </c>
      <c r="K50" s="107">
        <v>436445</v>
      </c>
      <c r="L50" s="107">
        <v>414100</v>
      </c>
      <c r="M50" s="107">
        <v>432561</v>
      </c>
      <c r="N50" s="107">
        <v>447120</v>
      </c>
      <c r="O50" s="107">
        <v>450629</v>
      </c>
      <c r="P50" s="107">
        <v>452411</v>
      </c>
      <c r="Q50" s="107">
        <v>450720</v>
      </c>
      <c r="R50" s="107">
        <v>441059</v>
      </c>
      <c r="S50" s="107">
        <v>438813</v>
      </c>
      <c r="T50" s="107">
        <v>443958</v>
      </c>
      <c r="U50" s="107">
        <v>432067</v>
      </c>
      <c r="V50" s="107">
        <v>416864</v>
      </c>
      <c r="W50" s="107">
        <v>405078</v>
      </c>
      <c r="X50" s="107">
        <v>436061</v>
      </c>
      <c r="Y50" s="107">
        <v>441689</v>
      </c>
      <c r="Z50" s="107">
        <v>413803</v>
      </c>
      <c r="AA50" s="107">
        <v>401987</v>
      </c>
      <c r="AB50" s="107">
        <v>402581</v>
      </c>
      <c r="AC50" s="107">
        <v>372312</v>
      </c>
      <c r="AD50" s="108">
        <v>384491.29300000001</v>
      </c>
      <c r="AE50" s="108">
        <v>368665.16499999998</v>
      </c>
      <c r="AF50" s="108">
        <v>307597.027</v>
      </c>
      <c r="AG50" s="108">
        <v>244456.87899999999</v>
      </c>
      <c r="AH50" s="108">
        <v>274986.12900000002</v>
      </c>
      <c r="AI50" s="108">
        <v>294932.114</v>
      </c>
      <c r="AJ50" s="108">
        <v>224909.41399999999</v>
      </c>
      <c r="AK50" s="108">
        <v>196556.32800000001</v>
      </c>
    </row>
    <row r="51" spans="1:37" x14ac:dyDescent="0.25">
      <c r="A51" s="104" t="s">
        <v>58</v>
      </c>
      <c r="B51" s="104" t="s">
        <v>48</v>
      </c>
      <c r="C51" s="106">
        <v>1321</v>
      </c>
      <c r="D51" s="106">
        <v>1473</v>
      </c>
      <c r="E51" s="106">
        <v>979</v>
      </c>
      <c r="F51" s="106">
        <v>971</v>
      </c>
      <c r="G51" s="106">
        <v>753</v>
      </c>
      <c r="H51" s="106">
        <v>637</v>
      </c>
      <c r="I51" s="106">
        <v>560</v>
      </c>
      <c r="J51" s="106">
        <v>427</v>
      </c>
      <c r="K51" s="106">
        <v>312</v>
      </c>
      <c r="L51" s="106">
        <v>364</v>
      </c>
      <c r="M51" s="106">
        <v>375</v>
      </c>
      <c r="N51" s="106">
        <v>218</v>
      </c>
      <c r="O51" s="106">
        <v>173</v>
      </c>
      <c r="P51" s="106">
        <v>129</v>
      </c>
      <c r="Q51" s="106">
        <v>181</v>
      </c>
      <c r="R51" s="106">
        <v>109</v>
      </c>
      <c r="S51" s="106">
        <v>29</v>
      </c>
      <c r="T51" s="106">
        <v>0</v>
      </c>
      <c r="U51" s="106">
        <v>261</v>
      </c>
      <c r="V51" s="106">
        <v>0</v>
      </c>
      <c r="W51" s="106">
        <v>0</v>
      </c>
      <c r="X51" s="106">
        <v>0</v>
      </c>
      <c r="Y51" s="106">
        <v>0</v>
      </c>
      <c r="Z51" s="106">
        <v>77.5</v>
      </c>
      <c r="AA51" s="106">
        <v>80.7</v>
      </c>
      <c r="AB51" s="106">
        <v>67</v>
      </c>
      <c r="AC51" s="106">
        <v>112.5</v>
      </c>
      <c r="AD51" s="106">
        <v>105</v>
      </c>
      <c r="AE51" s="106">
        <v>474.63</v>
      </c>
      <c r="AF51" s="105">
        <v>454.86799999999999</v>
      </c>
      <c r="AG51" s="105">
        <v>388.322</v>
      </c>
      <c r="AH51" s="105">
        <v>192.80500000000001</v>
      </c>
      <c r="AI51" s="105">
        <v>124.182</v>
      </c>
      <c r="AJ51" s="105">
        <v>187.30799999999999</v>
      </c>
      <c r="AK51" s="105">
        <v>144.959</v>
      </c>
    </row>
    <row r="52" spans="1:37" x14ac:dyDescent="0.25">
      <c r="A52" s="104" t="s">
        <v>58</v>
      </c>
      <c r="B52" s="104" t="s">
        <v>49</v>
      </c>
      <c r="C52" s="108">
        <v>15275.268</v>
      </c>
      <c r="D52" s="107">
        <v>16280</v>
      </c>
      <c r="E52" s="108">
        <v>12754.159</v>
      </c>
      <c r="F52" s="108">
        <v>11232.299000000001</v>
      </c>
      <c r="G52" s="108">
        <v>8527.1720000000005</v>
      </c>
      <c r="H52" s="107">
        <v>7732.8</v>
      </c>
      <c r="I52" s="107">
        <v>8031.2</v>
      </c>
      <c r="J52" s="107">
        <v>6265.3</v>
      </c>
      <c r="K52" s="107">
        <v>4847.3</v>
      </c>
      <c r="L52" s="107">
        <v>4757.3</v>
      </c>
      <c r="M52" s="107">
        <v>4243.3</v>
      </c>
      <c r="N52" s="107">
        <v>4366.6000000000004</v>
      </c>
      <c r="O52" s="107">
        <v>2803.2</v>
      </c>
      <c r="P52" s="107">
        <v>2986.5</v>
      </c>
      <c r="Q52" s="107">
        <v>2595.5</v>
      </c>
      <c r="R52" s="108">
        <v>3547.0830000000001</v>
      </c>
      <c r="S52" s="108">
        <v>4186.1589999999997</v>
      </c>
      <c r="T52" s="108">
        <v>5056.9859999999999</v>
      </c>
      <c r="U52" s="108">
        <v>4621.0829999999996</v>
      </c>
      <c r="V52" s="108">
        <v>3652.7759999999998</v>
      </c>
      <c r="W52" s="108">
        <v>3176.1329999999998</v>
      </c>
      <c r="X52" s="108">
        <v>2978.3240000000001</v>
      </c>
      <c r="Y52" s="108">
        <v>4042.8490000000002</v>
      </c>
      <c r="Z52" s="108">
        <v>3579.5039999999999</v>
      </c>
      <c r="AA52" s="108">
        <v>4460.9759999999997</v>
      </c>
      <c r="AB52" s="108">
        <v>4169.8239999999996</v>
      </c>
      <c r="AC52" s="107">
        <v>2750.91</v>
      </c>
      <c r="AD52" s="108">
        <v>2600.451</v>
      </c>
      <c r="AE52" s="108">
        <v>2472.7730000000001</v>
      </c>
      <c r="AF52" s="108">
        <v>2460.5680000000002</v>
      </c>
      <c r="AG52" s="108">
        <v>1785.9459999999999</v>
      </c>
      <c r="AH52" s="107">
        <v>1383.72</v>
      </c>
      <c r="AI52" s="108">
        <v>2037.335</v>
      </c>
      <c r="AJ52" s="108">
        <v>1574.8140000000001</v>
      </c>
      <c r="AK52" s="108">
        <v>777.21900000000005</v>
      </c>
    </row>
    <row r="53" spans="1:37" x14ac:dyDescent="0.25">
      <c r="A53" s="104" t="s">
        <v>58</v>
      </c>
      <c r="B53" s="104" t="s">
        <v>50</v>
      </c>
      <c r="C53" s="106">
        <v>10059</v>
      </c>
      <c r="D53" s="106">
        <v>11045</v>
      </c>
      <c r="E53" s="106">
        <v>9805</v>
      </c>
      <c r="F53" s="106">
        <v>9480</v>
      </c>
      <c r="G53" s="106">
        <v>6871</v>
      </c>
      <c r="H53" s="106">
        <v>6849.5</v>
      </c>
      <c r="I53" s="106">
        <v>5784</v>
      </c>
      <c r="J53" s="106">
        <v>4841</v>
      </c>
      <c r="K53" s="106">
        <v>3794</v>
      </c>
      <c r="L53" s="106">
        <v>3276</v>
      </c>
      <c r="M53" s="106">
        <v>2870</v>
      </c>
      <c r="N53" s="106">
        <v>3036</v>
      </c>
      <c r="O53" s="106">
        <v>2033</v>
      </c>
      <c r="P53" s="106">
        <v>1180</v>
      </c>
      <c r="Q53" s="106">
        <v>1262</v>
      </c>
      <c r="R53" s="106">
        <v>1636</v>
      </c>
      <c r="S53" s="106">
        <v>1938</v>
      </c>
      <c r="T53" s="106">
        <v>1533</v>
      </c>
      <c r="U53" s="105">
        <v>1664.1479999999999</v>
      </c>
      <c r="V53" s="105">
        <v>1351.2460000000001</v>
      </c>
      <c r="W53" s="105">
        <v>1288.079</v>
      </c>
      <c r="X53" s="105">
        <v>1380.741</v>
      </c>
      <c r="Y53" s="105">
        <v>1852.002</v>
      </c>
      <c r="Z53" s="105">
        <v>1795.008</v>
      </c>
      <c r="AA53" s="105">
        <v>2809.0039999999999</v>
      </c>
      <c r="AB53" s="106">
        <v>2749.92</v>
      </c>
      <c r="AC53" s="106">
        <v>1298.9000000000001</v>
      </c>
      <c r="AD53" s="106">
        <v>1230.82</v>
      </c>
      <c r="AE53" s="105">
        <v>1177.2670000000001</v>
      </c>
      <c r="AF53" s="105">
        <v>888.24599999999998</v>
      </c>
      <c r="AG53" s="105">
        <v>579.24800000000005</v>
      </c>
      <c r="AH53" s="105">
        <v>357.58699999999999</v>
      </c>
      <c r="AI53" s="105">
        <v>2037.7080000000001</v>
      </c>
      <c r="AJ53" s="105">
        <v>2719.9679999999998</v>
      </c>
      <c r="AK53" s="105">
        <v>1154.0989999999999</v>
      </c>
    </row>
    <row r="54" spans="1:37" x14ac:dyDescent="0.25">
      <c r="A54" s="104" t="s">
        <v>58</v>
      </c>
      <c r="B54" s="104" t="s">
        <v>51</v>
      </c>
      <c r="C54" s="108">
        <v>8120.933</v>
      </c>
      <c r="D54" s="108">
        <v>1365.721</v>
      </c>
      <c r="E54" s="107">
        <v>1881</v>
      </c>
      <c r="F54" s="107">
        <v>1897</v>
      </c>
      <c r="G54" s="107">
        <v>1984</v>
      </c>
      <c r="H54" s="107">
        <v>1143</v>
      </c>
      <c r="I54" s="107">
        <v>-3968</v>
      </c>
      <c r="J54" s="107">
        <v>-1009</v>
      </c>
      <c r="K54" s="107">
        <v>142</v>
      </c>
      <c r="L54" s="107">
        <v>1886</v>
      </c>
      <c r="M54" s="107">
        <v>3457</v>
      </c>
      <c r="N54" s="107">
        <v>162</v>
      </c>
      <c r="O54" s="107">
        <v>-1459.4</v>
      </c>
      <c r="P54" s="107">
        <v>3678</v>
      </c>
      <c r="Q54" s="107">
        <v>2665</v>
      </c>
      <c r="R54" s="108">
        <v>3980.3139999999999</v>
      </c>
      <c r="S54" s="108">
        <v>2068.125</v>
      </c>
      <c r="T54" s="107">
        <v>-800</v>
      </c>
      <c r="U54" s="107">
        <v>-3342</v>
      </c>
      <c r="V54" s="107">
        <v>-1662</v>
      </c>
      <c r="W54" s="108">
        <v>886.88499999999999</v>
      </c>
      <c r="X54" s="108">
        <v>1723.0250000000001</v>
      </c>
      <c r="Y54" s="107">
        <v>-1493.83</v>
      </c>
      <c r="Z54" s="108">
        <v>1212.6120000000001</v>
      </c>
      <c r="AA54" s="107">
        <v>3331.2</v>
      </c>
      <c r="AB54" s="107">
        <v>-700.09</v>
      </c>
      <c r="AC54" s="108">
        <v>2130.8449999999998</v>
      </c>
      <c r="AD54" s="108">
        <v>-479.03399999999999</v>
      </c>
      <c r="AE54" s="108">
        <v>1866.951</v>
      </c>
      <c r="AF54" s="108">
        <v>-1148.7629999999999</v>
      </c>
      <c r="AG54" s="108">
        <v>1762.7339999999999</v>
      </c>
      <c r="AH54" s="108">
        <v>2512.3130000000001</v>
      </c>
      <c r="AI54" s="108">
        <v>-1241.691</v>
      </c>
      <c r="AJ54" s="108">
        <v>-2531.6590000000001</v>
      </c>
      <c r="AK54" s="108">
        <v>2977.694</v>
      </c>
    </row>
    <row r="55" spans="1:37" x14ac:dyDescent="0.25">
      <c r="A55" s="104" t="s">
        <v>58</v>
      </c>
      <c r="B55" s="104" t="s">
        <v>52</v>
      </c>
      <c r="C55" s="106">
        <v>0</v>
      </c>
      <c r="D55" s="106">
        <v>0</v>
      </c>
      <c r="E55" s="106">
        <v>0</v>
      </c>
      <c r="F55" s="106">
        <v>0</v>
      </c>
      <c r="G55" s="106">
        <v>0</v>
      </c>
      <c r="H55" s="106">
        <v>0</v>
      </c>
      <c r="I55" s="106">
        <v>0</v>
      </c>
      <c r="J55" s="106">
        <v>0</v>
      </c>
      <c r="K55" s="106">
        <v>0</v>
      </c>
      <c r="L55" s="106">
        <v>0</v>
      </c>
      <c r="M55" s="106">
        <v>0</v>
      </c>
      <c r="N55" s="106">
        <v>0</v>
      </c>
      <c r="O55" s="106">
        <v>0</v>
      </c>
      <c r="P55" s="106">
        <v>0</v>
      </c>
      <c r="Q55" s="106">
        <v>0</v>
      </c>
      <c r="R55" s="106">
        <v>0</v>
      </c>
      <c r="S55" s="106">
        <v>0</v>
      </c>
      <c r="T55" s="106">
        <v>0</v>
      </c>
      <c r="U55" s="106">
        <v>0</v>
      </c>
      <c r="V55" s="106">
        <v>0</v>
      </c>
      <c r="W55" s="106">
        <v>0</v>
      </c>
      <c r="X55" s="106">
        <v>0</v>
      </c>
      <c r="Y55" s="106">
        <v>0</v>
      </c>
      <c r="Z55" s="106">
        <v>0</v>
      </c>
      <c r="AA55" s="106">
        <v>0</v>
      </c>
      <c r="AB55" s="106">
        <v>0</v>
      </c>
      <c r="AC55" s="106">
        <v>0</v>
      </c>
      <c r="AD55" s="106">
        <v>0</v>
      </c>
      <c r="AE55" s="106">
        <v>0</v>
      </c>
      <c r="AF55" s="106">
        <v>0</v>
      </c>
      <c r="AG55" s="106">
        <v>0</v>
      </c>
      <c r="AH55" s="106">
        <v>0</v>
      </c>
      <c r="AI55" s="106">
        <v>0</v>
      </c>
      <c r="AJ55" s="106">
        <v>0</v>
      </c>
      <c r="AK55" s="110" t="s">
        <v>255</v>
      </c>
    </row>
    <row r="56" spans="1:37" x14ac:dyDescent="0.25">
      <c r="A56" s="104" t="s">
        <v>58</v>
      </c>
      <c r="B56" s="104" t="s">
        <v>53</v>
      </c>
      <c r="C56" s="108">
        <v>690974.44799999997</v>
      </c>
      <c r="D56" s="108">
        <v>594555.52099999995</v>
      </c>
      <c r="E56" s="108">
        <v>549764.15899999999</v>
      </c>
      <c r="F56" s="108">
        <v>528671.799</v>
      </c>
      <c r="G56" s="108">
        <v>503607.17200000002</v>
      </c>
      <c r="H56" s="107">
        <v>486289.3</v>
      </c>
      <c r="I56" s="107">
        <v>481684.1</v>
      </c>
      <c r="J56" s="107">
        <v>460104.3</v>
      </c>
      <c r="K56" s="107">
        <v>437952.3</v>
      </c>
      <c r="L56" s="107">
        <v>417831.3</v>
      </c>
      <c r="M56" s="107">
        <v>437766.3</v>
      </c>
      <c r="N56" s="107">
        <v>448830.6</v>
      </c>
      <c r="O56" s="107">
        <v>450112.8</v>
      </c>
      <c r="P56" s="107">
        <v>458024.5</v>
      </c>
      <c r="Q56" s="107">
        <v>454899.5</v>
      </c>
      <c r="R56" s="108">
        <v>447059.397</v>
      </c>
      <c r="S56" s="108">
        <v>443158.28399999999</v>
      </c>
      <c r="T56" s="108">
        <v>446681.98599999998</v>
      </c>
      <c r="U56" s="108">
        <v>431942.935</v>
      </c>
      <c r="V56" s="107">
        <v>417503.53</v>
      </c>
      <c r="W56" s="108">
        <v>407852.93900000001</v>
      </c>
      <c r="X56" s="108">
        <v>439381.60800000001</v>
      </c>
      <c r="Y56" s="108">
        <v>442386.01699999999</v>
      </c>
      <c r="Z56" s="108">
        <v>416877.60800000001</v>
      </c>
      <c r="AA56" s="108">
        <v>407050.87199999997</v>
      </c>
      <c r="AB56" s="108">
        <v>403367.81400000001</v>
      </c>
      <c r="AC56" s="108">
        <v>376007.35499999998</v>
      </c>
      <c r="AD56" s="107">
        <v>385486.89</v>
      </c>
      <c r="AE56" s="108">
        <v>372302.25199999998</v>
      </c>
      <c r="AF56" s="108">
        <v>308475.45400000003</v>
      </c>
      <c r="AG56" s="108">
        <v>247814.633</v>
      </c>
      <c r="AH56" s="107">
        <v>278717.38</v>
      </c>
      <c r="AI56" s="108">
        <v>293814.23200000002</v>
      </c>
      <c r="AJ56" s="108">
        <v>221419.90900000001</v>
      </c>
      <c r="AK56" s="108">
        <v>199302.101</v>
      </c>
    </row>
    <row r="57" spans="1:37" x14ac:dyDescent="0.25">
      <c r="A57" s="104" t="s">
        <v>59</v>
      </c>
      <c r="B57" s="104" t="s">
        <v>47</v>
      </c>
      <c r="C57" s="106">
        <v>5307</v>
      </c>
      <c r="D57" s="106">
        <v>7928</v>
      </c>
      <c r="E57" s="106">
        <v>7475</v>
      </c>
      <c r="F57" s="106">
        <v>7727</v>
      </c>
      <c r="G57" s="106">
        <v>7438</v>
      </c>
      <c r="H57" s="106">
        <v>8008</v>
      </c>
      <c r="I57" s="106">
        <v>8134</v>
      </c>
      <c r="J57" s="106">
        <v>5534</v>
      </c>
      <c r="K57" s="106">
        <v>5135</v>
      </c>
      <c r="L57" s="106">
        <v>4682</v>
      </c>
      <c r="M57" s="106">
        <v>3630</v>
      </c>
      <c r="N57" s="106">
        <v>3504</v>
      </c>
      <c r="O57" s="106">
        <v>3556</v>
      </c>
      <c r="P57" s="106">
        <v>3177</v>
      </c>
      <c r="Q57" s="106">
        <v>3476</v>
      </c>
      <c r="R57" s="106">
        <v>3378</v>
      </c>
      <c r="S57" s="106">
        <v>3243</v>
      </c>
      <c r="T57" s="106">
        <v>3141</v>
      </c>
      <c r="U57" s="106">
        <v>2882</v>
      </c>
      <c r="V57" s="106">
        <v>2504</v>
      </c>
      <c r="W57" s="106">
        <v>2448</v>
      </c>
      <c r="X57" s="106">
        <v>2394</v>
      </c>
      <c r="Y57" s="106">
        <v>2314</v>
      </c>
      <c r="Z57" s="106">
        <v>1873</v>
      </c>
      <c r="AA57" s="106">
        <v>1310</v>
      </c>
      <c r="AB57" s="106">
        <v>1327</v>
      </c>
      <c r="AC57" s="106">
        <v>730</v>
      </c>
      <c r="AD57" s="105">
        <v>1816.088</v>
      </c>
      <c r="AE57" s="106">
        <v>1630.05</v>
      </c>
      <c r="AF57" s="106">
        <v>0</v>
      </c>
      <c r="AG57" s="106">
        <v>0</v>
      </c>
      <c r="AH57" s="106">
        <v>0</v>
      </c>
      <c r="AI57" s="106">
        <v>0</v>
      </c>
      <c r="AJ57" s="106">
        <v>0</v>
      </c>
      <c r="AK57" s="106">
        <v>0</v>
      </c>
    </row>
    <row r="58" spans="1:37" x14ac:dyDescent="0.25">
      <c r="A58" s="104" t="s">
        <v>59</v>
      </c>
      <c r="B58" s="104" t="s">
        <v>48</v>
      </c>
      <c r="C58" s="107">
        <v>1321</v>
      </c>
      <c r="D58" s="107">
        <v>1473</v>
      </c>
      <c r="E58" s="107">
        <v>979</v>
      </c>
      <c r="F58" s="107">
        <v>971</v>
      </c>
      <c r="G58" s="107">
        <v>753</v>
      </c>
      <c r="H58" s="107">
        <v>637</v>
      </c>
      <c r="I58" s="107">
        <v>560</v>
      </c>
      <c r="J58" s="107">
        <v>427</v>
      </c>
      <c r="K58" s="107">
        <v>312</v>
      </c>
      <c r="L58" s="107">
        <v>364</v>
      </c>
      <c r="M58" s="107">
        <v>375</v>
      </c>
      <c r="N58" s="107">
        <v>218</v>
      </c>
      <c r="O58" s="107">
        <v>173</v>
      </c>
      <c r="P58" s="107">
        <v>129</v>
      </c>
      <c r="Q58" s="107">
        <v>181</v>
      </c>
      <c r="R58" s="107">
        <v>109</v>
      </c>
      <c r="S58" s="107">
        <v>29</v>
      </c>
      <c r="T58" s="107">
        <v>0</v>
      </c>
      <c r="U58" s="107">
        <v>0</v>
      </c>
      <c r="V58" s="107">
        <v>0</v>
      </c>
      <c r="W58" s="107">
        <v>0</v>
      </c>
      <c r="X58" s="107">
        <v>0</v>
      </c>
      <c r="Y58" s="107">
        <v>0</v>
      </c>
      <c r="Z58" s="107">
        <v>77.5</v>
      </c>
      <c r="AA58" s="107">
        <v>80.7</v>
      </c>
      <c r="AB58" s="107">
        <v>67</v>
      </c>
      <c r="AC58" s="107">
        <v>112.5</v>
      </c>
      <c r="AD58" s="107">
        <v>105</v>
      </c>
      <c r="AE58" s="107">
        <v>127.8</v>
      </c>
      <c r="AF58" s="107">
        <v>136.30000000000001</v>
      </c>
      <c r="AG58" s="107">
        <v>143.4</v>
      </c>
      <c r="AH58" s="107">
        <v>113</v>
      </c>
      <c r="AI58" s="107">
        <v>99.1</v>
      </c>
      <c r="AJ58" s="107">
        <v>110.3</v>
      </c>
      <c r="AK58" s="107">
        <v>116.7</v>
      </c>
    </row>
    <row r="59" spans="1:37" x14ac:dyDescent="0.25">
      <c r="A59" s="104" t="s">
        <v>59</v>
      </c>
      <c r="B59" s="104" t="s">
        <v>49</v>
      </c>
      <c r="C59" s="106">
        <v>1122</v>
      </c>
      <c r="D59" s="106">
        <v>1888</v>
      </c>
      <c r="E59" s="106">
        <v>763</v>
      </c>
      <c r="F59" s="106">
        <v>679</v>
      </c>
      <c r="G59" s="106">
        <v>888</v>
      </c>
      <c r="H59" s="106">
        <v>1197</v>
      </c>
      <c r="I59" s="106">
        <v>1011</v>
      </c>
      <c r="J59" s="106">
        <v>946</v>
      </c>
      <c r="K59" s="106">
        <v>706</v>
      </c>
      <c r="L59" s="106">
        <v>947</v>
      </c>
      <c r="M59" s="106">
        <v>1022</v>
      </c>
      <c r="N59" s="106">
        <v>834</v>
      </c>
      <c r="O59" s="106">
        <v>1073</v>
      </c>
      <c r="P59" s="106">
        <v>1149</v>
      </c>
      <c r="Q59" s="106">
        <v>1687</v>
      </c>
      <c r="R59" s="106">
        <v>2225.41</v>
      </c>
      <c r="S59" s="106">
        <v>2366.64</v>
      </c>
      <c r="T59" s="105">
        <v>3051.8069999999998</v>
      </c>
      <c r="U59" s="105">
        <v>2923.922</v>
      </c>
      <c r="V59" s="105">
        <v>2224.4810000000002</v>
      </c>
      <c r="W59" s="105">
        <v>2041.4190000000001</v>
      </c>
      <c r="X59" s="105">
        <v>1734.8610000000001</v>
      </c>
      <c r="Y59" s="105">
        <v>2316.777</v>
      </c>
      <c r="Z59" s="105">
        <v>1904.779</v>
      </c>
      <c r="AA59" s="105">
        <v>1675.3530000000001</v>
      </c>
      <c r="AB59" s="105">
        <v>1721.1179999999999</v>
      </c>
      <c r="AC59" s="105">
        <v>1334.6420000000001</v>
      </c>
      <c r="AD59" s="105">
        <v>1129.825</v>
      </c>
      <c r="AE59" s="105">
        <v>1069.808</v>
      </c>
      <c r="AF59" s="105">
        <v>1362.2619999999999</v>
      </c>
      <c r="AG59" s="105">
        <v>900.38800000000003</v>
      </c>
      <c r="AH59" s="105">
        <v>813.77499999999998</v>
      </c>
      <c r="AI59" s="105">
        <v>1049.019</v>
      </c>
      <c r="AJ59" s="105">
        <v>769.24800000000005</v>
      </c>
      <c r="AK59" s="105">
        <v>358.495</v>
      </c>
    </row>
    <row r="60" spans="1:37" x14ac:dyDescent="0.25">
      <c r="A60" s="104" t="s">
        <v>59</v>
      </c>
      <c r="B60" s="104" t="s">
        <v>50</v>
      </c>
      <c r="C60" s="107">
        <v>57</v>
      </c>
      <c r="D60" s="107">
        <v>92</v>
      </c>
      <c r="E60" s="107">
        <v>14</v>
      </c>
      <c r="F60" s="107">
        <v>16</v>
      </c>
      <c r="G60" s="107">
        <v>8</v>
      </c>
      <c r="H60" s="107">
        <v>2</v>
      </c>
      <c r="I60" s="107">
        <v>99</v>
      </c>
      <c r="J60" s="107">
        <v>4</v>
      </c>
      <c r="K60" s="107">
        <v>4</v>
      </c>
      <c r="L60" s="107">
        <v>1</v>
      </c>
      <c r="M60" s="107">
        <v>61</v>
      </c>
      <c r="N60" s="107">
        <v>38</v>
      </c>
      <c r="O60" s="107">
        <v>35</v>
      </c>
      <c r="P60" s="107">
        <v>46</v>
      </c>
      <c r="Q60" s="107">
        <v>96</v>
      </c>
      <c r="R60" s="107">
        <v>47</v>
      </c>
      <c r="S60" s="107">
        <v>61</v>
      </c>
      <c r="T60" s="107">
        <v>10</v>
      </c>
      <c r="U60" s="107">
        <v>14</v>
      </c>
      <c r="V60" s="107">
        <v>19</v>
      </c>
      <c r="W60" s="107">
        <v>44</v>
      </c>
      <c r="X60" s="107">
        <v>6</v>
      </c>
      <c r="Y60" s="107">
        <v>12</v>
      </c>
      <c r="Z60" s="107">
        <v>0</v>
      </c>
      <c r="AA60" s="107">
        <v>0</v>
      </c>
      <c r="AB60" s="107">
        <v>0.9</v>
      </c>
      <c r="AC60" s="107">
        <v>0.9</v>
      </c>
      <c r="AD60" s="107">
        <v>6.6</v>
      </c>
      <c r="AE60" s="107">
        <v>1</v>
      </c>
      <c r="AF60" s="107">
        <v>1.3</v>
      </c>
      <c r="AG60" s="107">
        <v>0.2</v>
      </c>
      <c r="AH60" s="107">
        <v>0.2</v>
      </c>
      <c r="AI60" s="107">
        <v>0.8</v>
      </c>
      <c r="AJ60" s="107">
        <v>3.1</v>
      </c>
      <c r="AK60" s="107">
        <v>5.4</v>
      </c>
    </row>
    <row r="61" spans="1:37" x14ac:dyDescent="0.25">
      <c r="A61" s="104" t="s">
        <v>59</v>
      </c>
      <c r="B61" s="104" t="s">
        <v>51</v>
      </c>
      <c r="C61" s="106">
        <v>-186</v>
      </c>
      <c r="D61" s="106">
        <v>56</v>
      </c>
      <c r="E61" s="106">
        <v>610</v>
      </c>
      <c r="F61" s="106">
        <v>-152</v>
      </c>
      <c r="G61" s="106">
        <v>268</v>
      </c>
      <c r="H61" s="106">
        <v>-78</v>
      </c>
      <c r="I61" s="106">
        <v>-761</v>
      </c>
      <c r="J61" s="106">
        <v>35</v>
      </c>
      <c r="K61" s="106">
        <v>-1078</v>
      </c>
      <c r="L61" s="106">
        <v>-486</v>
      </c>
      <c r="M61" s="106">
        <v>840</v>
      </c>
      <c r="N61" s="106">
        <v>-31</v>
      </c>
      <c r="O61" s="106">
        <v>277</v>
      </c>
      <c r="P61" s="106">
        <v>247</v>
      </c>
      <c r="Q61" s="106">
        <v>159</v>
      </c>
      <c r="R61" s="106">
        <v>681</v>
      </c>
      <c r="S61" s="106">
        <v>70</v>
      </c>
      <c r="T61" s="106">
        <v>234</v>
      </c>
      <c r="U61" s="106">
        <v>-655</v>
      </c>
      <c r="V61" s="106">
        <v>-921</v>
      </c>
      <c r="W61" s="106">
        <v>-1673</v>
      </c>
      <c r="X61" s="106">
        <v>472</v>
      </c>
      <c r="Y61" s="106">
        <v>-111</v>
      </c>
      <c r="Z61" s="106">
        <v>-160</v>
      </c>
      <c r="AA61" s="106">
        <v>972</v>
      </c>
      <c r="AB61" s="106">
        <v>986</v>
      </c>
      <c r="AC61" s="106">
        <v>682</v>
      </c>
      <c r="AD61" s="105">
        <v>114.44199999999999</v>
      </c>
      <c r="AE61" s="105">
        <v>-209.738</v>
      </c>
      <c r="AF61" s="105">
        <v>541.38699999999994</v>
      </c>
      <c r="AG61" s="105">
        <v>180.465</v>
      </c>
      <c r="AH61" s="105">
        <v>207.31200000000001</v>
      </c>
      <c r="AI61" s="105">
        <v>-108.29900000000001</v>
      </c>
      <c r="AJ61" s="105">
        <v>-133.07900000000001</v>
      </c>
      <c r="AK61" s="105">
        <v>203.423</v>
      </c>
    </row>
    <row r="62" spans="1:37" x14ac:dyDescent="0.25">
      <c r="A62" s="104" t="s">
        <v>59</v>
      </c>
      <c r="B62" s="104" t="s">
        <v>52</v>
      </c>
      <c r="C62" s="107">
        <v>0</v>
      </c>
      <c r="D62" s="107">
        <v>0</v>
      </c>
      <c r="E62" s="107">
        <v>0</v>
      </c>
      <c r="F62" s="107">
        <v>0</v>
      </c>
      <c r="G62" s="107">
        <v>0</v>
      </c>
      <c r="H62" s="107">
        <v>0</v>
      </c>
      <c r="I62" s="107">
        <v>0</v>
      </c>
      <c r="J62" s="107">
        <v>0</v>
      </c>
      <c r="K62" s="107">
        <v>0</v>
      </c>
      <c r="L62" s="107">
        <v>0</v>
      </c>
      <c r="M62" s="107">
        <v>0</v>
      </c>
      <c r="N62" s="107">
        <v>0</v>
      </c>
      <c r="O62" s="107">
        <v>0</v>
      </c>
      <c r="P62" s="107">
        <v>0</v>
      </c>
      <c r="Q62" s="107">
        <v>0</v>
      </c>
      <c r="R62" s="107">
        <v>0</v>
      </c>
      <c r="S62" s="107">
        <v>0</v>
      </c>
      <c r="T62" s="107">
        <v>0</v>
      </c>
      <c r="U62" s="107">
        <v>0</v>
      </c>
      <c r="V62" s="107">
        <v>0</v>
      </c>
      <c r="W62" s="107">
        <v>0</v>
      </c>
      <c r="X62" s="107">
        <v>0</v>
      </c>
      <c r="Y62" s="107">
        <v>0</v>
      </c>
      <c r="Z62" s="107">
        <v>0</v>
      </c>
      <c r="AA62" s="107">
        <v>0</v>
      </c>
      <c r="AB62" s="107">
        <v>0</v>
      </c>
      <c r="AC62" s="107">
        <v>0</v>
      </c>
      <c r="AD62" s="107">
        <v>0</v>
      </c>
      <c r="AE62" s="107">
        <v>0</v>
      </c>
      <c r="AF62" s="107">
        <v>0</v>
      </c>
      <c r="AG62" s="107">
        <v>0</v>
      </c>
      <c r="AH62" s="107">
        <v>0</v>
      </c>
      <c r="AI62" s="107">
        <v>0</v>
      </c>
      <c r="AJ62" s="107">
        <v>0</v>
      </c>
      <c r="AK62" s="109" t="s">
        <v>255</v>
      </c>
    </row>
    <row r="63" spans="1:37" x14ac:dyDescent="0.25">
      <c r="A63" s="104" t="s">
        <v>59</v>
      </c>
      <c r="B63" s="104" t="s">
        <v>53</v>
      </c>
      <c r="C63" s="106">
        <v>7507</v>
      </c>
      <c r="D63" s="106">
        <v>11253</v>
      </c>
      <c r="E63" s="106">
        <v>9813</v>
      </c>
      <c r="F63" s="106">
        <v>9209</v>
      </c>
      <c r="G63" s="106">
        <v>9339</v>
      </c>
      <c r="H63" s="106">
        <v>9762</v>
      </c>
      <c r="I63" s="106">
        <v>8845</v>
      </c>
      <c r="J63" s="106">
        <v>6938</v>
      </c>
      <c r="K63" s="106">
        <v>5071</v>
      </c>
      <c r="L63" s="106">
        <v>5506</v>
      </c>
      <c r="M63" s="106">
        <v>5806</v>
      </c>
      <c r="N63" s="106">
        <v>4487</v>
      </c>
      <c r="O63" s="106">
        <v>5044</v>
      </c>
      <c r="P63" s="106">
        <v>4656</v>
      </c>
      <c r="Q63" s="106">
        <v>5407</v>
      </c>
      <c r="R63" s="106">
        <v>6346.41</v>
      </c>
      <c r="S63" s="106">
        <v>5647.64</v>
      </c>
      <c r="T63" s="105">
        <v>6416.8069999999998</v>
      </c>
      <c r="U63" s="105">
        <v>5136.9219999999996</v>
      </c>
      <c r="V63" s="105">
        <v>3788.4810000000002</v>
      </c>
      <c r="W63" s="105">
        <v>2772.4189999999999</v>
      </c>
      <c r="X63" s="105">
        <v>4594.8609999999999</v>
      </c>
      <c r="Y63" s="105">
        <v>4507.777</v>
      </c>
      <c r="Z63" s="105">
        <v>3695.279</v>
      </c>
      <c r="AA63" s="105">
        <v>4038.0529999999999</v>
      </c>
      <c r="AB63" s="105">
        <v>4100.2179999999998</v>
      </c>
      <c r="AC63" s="105">
        <v>2858.2420000000002</v>
      </c>
      <c r="AD63" s="105">
        <v>3158.7550000000001</v>
      </c>
      <c r="AE63" s="106">
        <v>2616.92</v>
      </c>
      <c r="AF63" s="105">
        <v>2038.6489999999999</v>
      </c>
      <c r="AG63" s="105">
        <v>1224.0530000000001</v>
      </c>
      <c r="AH63" s="105">
        <v>1133.8869999999999</v>
      </c>
      <c r="AI63" s="106">
        <v>1039.02</v>
      </c>
      <c r="AJ63" s="105">
        <v>743.36900000000003</v>
      </c>
      <c r="AK63" s="105">
        <v>673.21799999999996</v>
      </c>
    </row>
    <row r="64" spans="1:37" x14ac:dyDescent="0.25">
      <c r="A64" s="104" t="s">
        <v>60</v>
      </c>
      <c r="B64" s="104" t="s">
        <v>47</v>
      </c>
      <c r="C64" s="108">
        <v>671009.24699999997</v>
      </c>
      <c r="D64" s="107">
        <v>578553.80000000005</v>
      </c>
      <c r="E64" s="107">
        <v>536480</v>
      </c>
      <c r="F64" s="107">
        <v>516324.5</v>
      </c>
      <c r="G64" s="107">
        <v>491776</v>
      </c>
      <c r="H64" s="107">
        <v>475618</v>
      </c>
      <c r="I64" s="107">
        <v>474710.9</v>
      </c>
      <c r="J64" s="107">
        <v>453728</v>
      </c>
      <c r="K64" s="107">
        <v>431310</v>
      </c>
      <c r="L64" s="107">
        <v>409418</v>
      </c>
      <c r="M64" s="107">
        <v>428931</v>
      </c>
      <c r="N64" s="107">
        <v>443616</v>
      </c>
      <c r="O64" s="107">
        <v>447073</v>
      </c>
      <c r="P64" s="107">
        <v>449234</v>
      </c>
      <c r="Q64" s="107">
        <v>447244</v>
      </c>
      <c r="R64" s="107">
        <v>437681</v>
      </c>
      <c r="S64" s="107">
        <v>435570</v>
      </c>
      <c r="T64" s="107">
        <v>440817</v>
      </c>
      <c r="U64" s="107">
        <v>429185</v>
      </c>
      <c r="V64" s="107">
        <v>414360</v>
      </c>
      <c r="W64" s="107">
        <v>402630</v>
      </c>
      <c r="X64" s="107">
        <v>433667</v>
      </c>
      <c r="Y64" s="107">
        <v>439375</v>
      </c>
      <c r="Z64" s="107">
        <v>411930</v>
      </c>
      <c r="AA64" s="107">
        <v>400677</v>
      </c>
      <c r="AB64" s="107">
        <v>401254</v>
      </c>
      <c r="AC64" s="107">
        <v>371582</v>
      </c>
      <c r="AD64" s="108">
        <v>382675.20500000002</v>
      </c>
      <c r="AE64" s="108">
        <v>367035.11499999999</v>
      </c>
      <c r="AF64" s="108">
        <v>307597.027</v>
      </c>
      <c r="AG64" s="108">
        <v>244456.87899999999</v>
      </c>
      <c r="AH64" s="108">
        <v>274986.12900000002</v>
      </c>
      <c r="AI64" s="108">
        <v>294932.114</v>
      </c>
      <c r="AJ64" s="108">
        <v>224909.41399999999</v>
      </c>
      <c r="AK64" s="108">
        <v>196556.32800000001</v>
      </c>
    </row>
    <row r="65" spans="1:37" x14ac:dyDescent="0.25">
      <c r="A65" s="104" t="s">
        <v>60</v>
      </c>
      <c r="B65" s="104" t="s">
        <v>48</v>
      </c>
      <c r="C65" s="106">
        <v>0</v>
      </c>
      <c r="D65" s="106">
        <v>0</v>
      </c>
      <c r="E65" s="106">
        <v>0</v>
      </c>
      <c r="F65" s="106">
        <v>0</v>
      </c>
      <c r="G65" s="106">
        <v>0</v>
      </c>
      <c r="H65" s="106">
        <v>0</v>
      </c>
      <c r="I65" s="106">
        <v>0</v>
      </c>
      <c r="J65" s="106">
        <v>0</v>
      </c>
      <c r="K65" s="106">
        <v>0</v>
      </c>
      <c r="L65" s="106">
        <v>0</v>
      </c>
      <c r="M65" s="106">
        <v>0</v>
      </c>
      <c r="N65" s="106">
        <v>0</v>
      </c>
      <c r="O65" s="106">
        <v>0</v>
      </c>
      <c r="P65" s="106">
        <v>0</v>
      </c>
      <c r="Q65" s="106">
        <v>0</v>
      </c>
      <c r="R65" s="106">
        <v>0</v>
      </c>
      <c r="S65" s="106">
        <v>0</v>
      </c>
      <c r="T65" s="106">
        <v>0</v>
      </c>
      <c r="U65" s="106">
        <v>261</v>
      </c>
      <c r="V65" s="106">
        <v>0</v>
      </c>
      <c r="W65" s="106">
        <v>0</v>
      </c>
      <c r="X65" s="106">
        <v>0</v>
      </c>
      <c r="Y65" s="106">
        <v>0</v>
      </c>
      <c r="Z65" s="106">
        <v>0</v>
      </c>
      <c r="AA65" s="106">
        <v>0</v>
      </c>
      <c r="AB65" s="106">
        <v>0</v>
      </c>
      <c r="AC65" s="106">
        <v>0</v>
      </c>
      <c r="AD65" s="106">
        <v>0</v>
      </c>
      <c r="AE65" s="106">
        <v>346.83</v>
      </c>
      <c r="AF65" s="105">
        <v>318.56799999999998</v>
      </c>
      <c r="AG65" s="105">
        <v>244.922</v>
      </c>
      <c r="AH65" s="105">
        <v>79.805000000000007</v>
      </c>
      <c r="AI65" s="105">
        <v>25.082000000000001</v>
      </c>
      <c r="AJ65" s="105">
        <v>77.007999999999996</v>
      </c>
      <c r="AK65" s="105">
        <v>28.259</v>
      </c>
    </row>
    <row r="66" spans="1:37" x14ac:dyDescent="0.25">
      <c r="A66" s="104" t="s">
        <v>60</v>
      </c>
      <c r="B66" s="104" t="s">
        <v>49</v>
      </c>
      <c r="C66" s="108">
        <v>14153.268</v>
      </c>
      <c r="D66" s="107">
        <v>14392</v>
      </c>
      <c r="E66" s="108">
        <v>11991.159</v>
      </c>
      <c r="F66" s="108">
        <v>10553.299000000001</v>
      </c>
      <c r="G66" s="108">
        <v>7639.1719999999996</v>
      </c>
      <c r="H66" s="107">
        <v>6535.8</v>
      </c>
      <c r="I66" s="107">
        <v>7020.2</v>
      </c>
      <c r="J66" s="107">
        <v>5319.3</v>
      </c>
      <c r="K66" s="107">
        <v>4141.3</v>
      </c>
      <c r="L66" s="107">
        <v>3810.3</v>
      </c>
      <c r="M66" s="107">
        <v>3221.3</v>
      </c>
      <c r="N66" s="107">
        <v>3532.6</v>
      </c>
      <c r="O66" s="107">
        <v>1730.2</v>
      </c>
      <c r="P66" s="107">
        <v>1837.5</v>
      </c>
      <c r="Q66" s="107">
        <v>908.5</v>
      </c>
      <c r="R66" s="108">
        <v>1321.673</v>
      </c>
      <c r="S66" s="108">
        <v>1819.519</v>
      </c>
      <c r="T66" s="108">
        <v>2005.1790000000001</v>
      </c>
      <c r="U66" s="108">
        <v>1697.1610000000001</v>
      </c>
      <c r="V66" s="108">
        <v>1428.2950000000001</v>
      </c>
      <c r="W66" s="108">
        <v>1134.7139999999999</v>
      </c>
      <c r="X66" s="108">
        <v>1243.463</v>
      </c>
      <c r="Y66" s="108">
        <v>1726.0719999999999</v>
      </c>
      <c r="Z66" s="108">
        <v>1674.7249999999999</v>
      </c>
      <c r="AA66" s="108">
        <v>2785.623</v>
      </c>
      <c r="AB66" s="108">
        <v>2448.7060000000001</v>
      </c>
      <c r="AC66" s="108">
        <v>1416.268</v>
      </c>
      <c r="AD66" s="108">
        <v>1470.626</v>
      </c>
      <c r="AE66" s="108">
        <v>1402.9649999999999</v>
      </c>
      <c r="AF66" s="108">
        <v>1098.306</v>
      </c>
      <c r="AG66" s="108">
        <v>885.55799999999999</v>
      </c>
      <c r="AH66" s="108">
        <v>569.94500000000005</v>
      </c>
      <c r="AI66" s="108">
        <v>988.31600000000003</v>
      </c>
      <c r="AJ66" s="108">
        <v>805.56600000000003</v>
      </c>
      <c r="AK66" s="108">
        <v>418.72399999999999</v>
      </c>
    </row>
    <row r="67" spans="1:37" x14ac:dyDescent="0.25">
      <c r="A67" s="104" t="s">
        <v>60</v>
      </c>
      <c r="B67" s="104" t="s">
        <v>50</v>
      </c>
      <c r="C67" s="106">
        <v>10002</v>
      </c>
      <c r="D67" s="106">
        <v>10953</v>
      </c>
      <c r="E67" s="106">
        <v>9791</v>
      </c>
      <c r="F67" s="106">
        <v>9464</v>
      </c>
      <c r="G67" s="106">
        <v>6863</v>
      </c>
      <c r="H67" s="106">
        <v>6847.5</v>
      </c>
      <c r="I67" s="106">
        <v>5685</v>
      </c>
      <c r="J67" s="106">
        <v>4837</v>
      </c>
      <c r="K67" s="106">
        <v>3790</v>
      </c>
      <c r="L67" s="106">
        <v>3275</v>
      </c>
      <c r="M67" s="106">
        <v>2809</v>
      </c>
      <c r="N67" s="106">
        <v>2998</v>
      </c>
      <c r="O67" s="106">
        <v>1998</v>
      </c>
      <c r="P67" s="106">
        <v>1134</v>
      </c>
      <c r="Q67" s="106">
        <v>1166</v>
      </c>
      <c r="R67" s="106">
        <v>1589</v>
      </c>
      <c r="S67" s="106">
        <v>1877</v>
      </c>
      <c r="T67" s="106">
        <v>1523</v>
      </c>
      <c r="U67" s="105">
        <v>1650.1479999999999</v>
      </c>
      <c r="V67" s="105">
        <v>1332.2460000000001</v>
      </c>
      <c r="W67" s="105">
        <v>1244.079</v>
      </c>
      <c r="X67" s="105">
        <v>1374.741</v>
      </c>
      <c r="Y67" s="105">
        <v>1840.002</v>
      </c>
      <c r="Z67" s="105">
        <v>1795.008</v>
      </c>
      <c r="AA67" s="105">
        <v>2809.0039999999999</v>
      </c>
      <c r="AB67" s="106">
        <v>2749.02</v>
      </c>
      <c r="AC67" s="106">
        <v>1298</v>
      </c>
      <c r="AD67" s="106">
        <v>1224.22</v>
      </c>
      <c r="AE67" s="105">
        <v>1176.2670000000001</v>
      </c>
      <c r="AF67" s="105">
        <v>886.94600000000003</v>
      </c>
      <c r="AG67" s="105">
        <v>579.048</v>
      </c>
      <c r="AH67" s="105">
        <v>357.387</v>
      </c>
      <c r="AI67" s="105">
        <v>2036.9079999999999</v>
      </c>
      <c r="AJ67" s="105">
        <v>2716.8679999999999</v>
      </c>
      <c r="AK67" s="105">
        <v>1148.6990000000001</v>
      </c>
    </row>
    <row r="68" spans="1:37" x14ac:dyDescent="0.25">
      <c r="A68" s="104" t="s">
        <v>60</v>
      </c>
      <c r="B68" s="104" t="s">
        <v>51</v>
      </c>
      <c r="C68" s="108">
        <v>8306.9330000000009</v>
      </c>
      <c r="D68" s="108">
        <v>1309.721</v>
      </c>
      <c r="E68" s="107">
        <v>1271</v>
      </c>
      <c r="F68" s="107">
        <v>2049</v>
      </c>
      <c r="G68" s="107">
        <v>1716</v>
      </c>
      <c r="H68" s="107">
        <v>1221</v>
      </c>
      <c r="I68" s="107">
        <v>-3207</v>
      </c>
      <c r="J68" s="107">
        <v>-1044</v>
      </c>
      <c r="K68" s="107">
        <v>1220</v>
      </c>
      <c r="L68" s="107">
        <v>2372</v>
      </c>
      <c r="M68" s="107">
        <v>2617</v>
      </c>
      <c r="N68" s="107">
        <v>193</v>
      </c>
      <c r="O68" s="107">
        <v>-1736.4</v>
      </c>
      <c r="P68" s="107">
        <v>3431</v>
      </c>
      <c r="Q68" s="107">
        <v>2506</v>
      </c>
      <c r="R68" s="108">
        <v>3299.3139999999999</v>
      </c>
      <c r="S68" s="108">
        <v>1998.125</v>
      </c>
      <c r="T68" s="107">
        <v>-1034</v>
      </c>
      <c r="U68" s="107">
        <v>-2687</v>
      </c>
      <c r="V68" s="107">
        <v>-741</v>
      </c>
      <c r="W68" s="108">
        <v>2559.8850000000002</v>
      </c>
      <c r="X68" s="108">
        <v>1251.0250000000001</v>
      </c>
      <c r="Y68" s="107">
        <v>-1382.83</v>
      </c>
      <c r="Z68" s="108">
        <v>1372.6120000000001</v>
      </c>
      <c r="AA68" s="107">
        <v>2359.1999999999998</v>
      </c>
      <c r="AB68" s="107">
        <v>-1686.09</v>
      </c>
      <c r="AC68" s="108">
        <v>1448.845</v>
      </c>
      <c r="AD68" s="108">
        <v>-593.476</v>
      </c>
      <c r="AE68" s="108">
        <v>2076.6889999999999</v>
      </c>
      <c r="AF68" s="107">
        <v>-1690.15</v>
      </c>
      <c r="AG68" s="108">
        <v>1582.269</v>
      </c>
      <c r="AH68" s="108">
        <v>2305.0010000000002</v>
      </c>
      <c r="AI68" s="108">
        <v>-1133.3920000000001</v>
      </c>
      <c r="AJ68" s="107">
        <v>-2398.58</v>
      </c>
      <c r="AK68" s="108">
        <v>2774.2710000000002</v>
      </c>
    </row>
    <row r="69" spans="1:37" x14ac:dyDescent="0.25">
      <c r="A69" s="104" t="s">
        <v>60</v>
      </c>
      <c r="B69" s="104" t="s">
        <v>52</v>
      </c>
      <c r="C69" s="106">
        <v>0</v>
      </c>
      <c r="D69" s="106">
        <v>0</v>
      </c>
      <c r="E69" s="106">
        <v>0</v>
      </c>
      <c r="F69" s="106">
        <v>0</v>
      </c>
      <c r="G69" s="106">
        <v>0</v>
      </c>
      <c r="H69" s="106">
        <v>0</v>
      </c>
      <c r="I69" s="106">
        <v>0</v>
      </c>
      <c r="J69" s="106">
        <v>0</v>
      </c>
      <c r="K69" s="106">
        <v>0</v>
      </c>
      <c r="L69" s="106">
        <v>0</v>
      </c>
      <c r="M69" s="106">
        <v>0</v>
      </c>
      <c r="N69" s="106">
        <v>0</v>
      </c>
      <c r="O69" s="106">
        <v>0</v>
      </c>
      <c r="P69" s="106">
        <v>0</v>
      </c>
      <c r="Q69" s="106">
        <v>0</v>
      </c>
      <c r="R69" s="106">
        <v>0</v>
      </c>
      <c r="S69" s="106">
        <v>0</v>
      </c>
      <c r="T69" s="106">
        <v>0</v>
      </c>
      <c r="U69" s="106">
        <v>0</v>
      </c>
      <c r="V69" s="106">
        <v>0</v>
      </c>
      <c r="W69" s="106">
        <v>0</v>
      </c>
      <c r="X69" s="106">
        <v>0</v>
      </c>
      <c r="Y69" s="106">
        <v>0</v>
      </c>
      <c r="Z69" s="106">
        <v>0</v>
      </c>
      <c r="AA69" s="106">
        <v>0</v>
      </c>
      <c r="AB69" s="106">
        <v>0</v>
      </c>
      <c r="AC69" s="106">
        <v>0</v>
      </c>
      <c r="AD69" s="106">
        <v>0</v>
      </c>
      <c r="AE69" s="106">
        <v>0</v>
      </c>
      <c r="AF69" s="106">
        <v>0</v>
      </c>
      <c r="AG69" s="106">
        <v>0</v>
      </c>
      <c r="AH69" s="106">
        <v>0</v>
      </c>
      <c r="AI69" s="106">
        <v>0</v>
      </c>
      <c r="AJ69" s="106">
        <v>0</v>
      </c>
      <c r="AK69" s="110" t="s">
        <v>255</v>
      </c>
    </row>
    <row r="70" spans="1:37" x14ac:dyDescent="0.25">
      <c r="A70" s="104" t="s">
        <v>60</v>
      </c>
      <c r="B70" s="104" t="s">
        <v>53</v>
      </c>
      <c r="C70" s="108">
        <v>683467.44799999997</v>
      </c>
      <c r="D70" s="108">
        <v>583302.52099999995</v>
      </c>
      <c r="E70" s="108">
        <v>539951.15899999999</v>
      </c>
      <c r="F70" s="108">
        <v>519462.799</v>
      </c>
      <c r="G70" s="108">
        <v>494268.17200000002</v>
      </c>
      <c r="H70" s="107">
        <v>476527.3</v>
      </c>
      <c r="I70" s="107">
        <v>472839.1</v>
      </c>
      <c r="J70" s="107">
        <v>453166.3</v>
      </c>
      <c r="K70" s="107">
        <v>432881.3</v>
      </c>
      <c r="L70" s="107">
        <v>412325.3</v>
      </c>
      <c r="M70" s="107">
        <v>431960.3</v>
      </c>
      <c r="N70" s="107">
        <v>444343.6</v>
      </c>
      <c r="O70" s="107">
        <v>445068.79999999999</v>
      </c>
      <c r="P70" s="107">
        <v>453368.5</v>
      </c>
      <c r="Q70" s="107">
        <v>449492.5</v>
      </c>
      <c r="R70" s="108">
        <v>440712.98700000002</v>
      </c>
      <c r="S70" s="108">
        <v>437510.64399999997</v>
      </c>
      <c r="T70" s="108">
        <v>440265.179</v>
      </c>
      <c r="U70" s="108">
        <v>426806.01299999998</v>
      </c>
      <c r="V70" s="108">
        <v>413715.049</v>
      </c>
      <c r="W70" s="107">
        <v>405080.52</v>
      </c>
      <c r="X70" s="108">
        <v>434786.74699999997</v>
      </c>
      <c r="Y70" s="107">
        <v>437878.24</v>
      </c>
      <c r="Z70" s="108">
        <v>413182.32900000003</v>
      </c>
      <c r="AA70" s="108">
        <v>403012.81900000002</v>
      </c>
      <c r="AB70" s="108">
        <v>399267.59600000002</v>
      </c>
      <c r="AC70" s="108">
        <v>373149.11300000001</v>
      </c>
      <c r="AD70" s="108">
        <v>382328.13500000001</v>
      </c>
      <c r="AE70" s="108">
        <v>369685.33199999999</v>
      </c>
      <c r="AF70" s="108">
        <v>306436.80499999999</v>
      </c>
      <c r="AG70" s="107">
        <v>246590.58</v>
      </c>
      <c r="AH70" s="108">
        <v>277583.49300000002</v>
      </c>
      <c r="AI70" s="108">
        <v>292775.212</v>
      </c>
      <c r="AJ70" s="107">
        <v>220676.54</v>
      </c>
      <c r="AK70" s="108">
        <v>198628.883</v>
      </c>
    </row>
    <row r="71" spans="1:37" x14ac:dyDescent="0.25">
      <c r="A71" s="104" t="s">
        <v>61</v>
      </c>
      <c r="B71" s="104" t="s">
        <v>47</v>
      </c>
      <c r="C71" s="106">
        <v>79880</v>
      </c>
      <c r="D71" s="106">
        <v>67764</v>
      </c>
      <c r="E71" s="106">
        <v>64823</v>
      </c>
      <c r="F71" s="106">
        <v>58994</v>
      </c>
      <c r="G71" s="106">
        <v>59257</v>
      </c>
      <c r="H71" s="106">
        <v>58826</v>
      </c>
      <c r="I71" s="106">
        <v>56209</v>
      </c>
      <c r="J71" s="106">
        <v>56309</v>
      </c>
      <c r="K71" s="106">
        <v>53715</v>
      </c>
      <c r="L71" s="106">
        <v>47503</v>
      </c>
      <c r="M71" s="106">
        <v>47926</v>
      </c>
      <c r="N71" s="106">
        <v>45869</v>
      </c>
      <c r="O71" s="106">
        <v>44099</v>
      </c>
      <c r="P71" s="106">
        <v>46003</v>
      </c>
      <c r="Q71" s="106">
        <v>47513</v>
      </c>
      <c r="R71" s="105">
        <v>45838.936999999998</v>
      </c>
      <c r="S71" s="105">
        <v>47441.036</v>
      </c>
      <c r="T71" s="105">
        <v>47045.758999999998</v>
      </c>
      <c r="U71" s="105">
        <v>45273.612999999998</v>
      </c>
      <c r="V71" s="105">
        <v>32952.603000000003</v>
      </c>
      <c r="W71" s="105">
        <v>39923.707999999999</v>
      </c>
      <c r="X71" s="106">
        <v>39719.480000000003</v>
      </c>
      <c r="Y71" s="105">
        <v>38200.902999999998</v>
      </c>
      <c r="Z71" s="105">
        <v>37119.841</v>
      </c>
      <c r="AA71" s="105">
        <v>36636.462</v>
      </c>
      <c r="AB71" s="105">
        <v>36652.303999999996</v>
      </c>
      <c r="AC71" s="106">
        <v>36875.660000000003</v>
      </c>
      <c r="AD71" s="105">
        <v>36804.945</v>
      </c>
      <c r="AE71" s="105">
        <v>36803.985999999997</v>
      </c>
      <c r="AF71" s="105">
        <v>34498.595999999998</v>
      </c>
      <c r="AG71" s="106">
        <v>30135.040000000001</v>
      </c>
      <c r="AH71" s="105">
        <v>31263.355</v>
      </c>
      <c r="AI71" s="105">
        <v>30250.973000000002</v>
      </c>
      <c r="AJ71" s="105">
        <v>27847.738000000001</v>
      </c>
      <c r="AK71" s="105">
        <v>27638.929</v>
      </c>
    </row>
    <row r="72" spans="1:37" x14ac:dyDescent="0.25">
      <c r="A72" s="104" t="s">
        <v>61</v>
      </c>
      <c r="B72" s="104" t="s">
        <v>48</v>
      </c>
      <c r="C72" s="107">
        <v>0</v>
      </c>
      <c r="D72" s="107">
        <v>0</v>
      </c>
      <c r="E72" s="107">
        <v>0</v>
      </c>
      <c r="F72" s="107">
        <v>0</v>
      </c>
      <c r="G72" s="107">
        <v>0</v>
      </c>
      <c r="H72" s="107">
        <v>0</v>
      </c>
      <c r="I72" s="107">
        <v>0</v>
      </c>
      <c r="J72" s="107">
        <v>0</v>
      </c>
      <c r="K72" s="107">
        <v>0</v>
      </c>
      <c r="L72" s="107">
        <v>0</v>
      </c>
      <c r="M72" s="107">
        <v>0</v>
      </c>
      <c r="N72" s="107">
        <v>0</v>
      </c>
      <c r="O72" s="107">
        <v>0</v>
      </c>
      <c r="P72" s="107">
        <v>0</v>
      </c>
      <c r="Q72" s="107">
        <v>0</v>
      </c>
      <c r="R72" s="107">
        <v>0</v>
      </c>
      <c r="S72" s="107">
        <v>0</v>
      </c>
      <c r="T72" s="107">
        <v>0</v>
      </c>
      <c r="U72" s="107">
        <v>0</v>
      </c>
      <c r="V72" s="107">
        <v>0</v>
      </c>
      <c r="W72" s="107">
        <v>2</v>
      </c>
      <c r="X72" s="107">
        <v>0</v>
      </c>
      <c r="Y72" s="107">
        <v>0</v>
      </c>
      <c r="Z72" s="107">
        <v>0</v>
      </c>
      <c r="AA72" s="107">
        <v>0</v>
      </c>
      <c r="AB72" s="107">
        <v>0</v>
      </c>
      <c r="AC72" s="107">
        <v>0</v>
      </c>
      <c r="AD72" s="107">
        <v>0</v>
      </c>
      <c r="AE72" s="107">
        <v>0</v>
      </c>
      <c r="AF72" s="107">
        <v>0</v>
      </c>
      <c r="AG72" s="107">
        <v>0</v>
      </c>
      <c r="AH72" s="107">
        <v>0</v>
      </c>
      <c r="AI72" s="107">
        <v>0</v>
      </c>
      <c r="AJ72" s="107">
        <v>0</v>
      </c>
      <c r="AK72" s="107">
        <v>0</v>
      </c>
    </row>
    <row r="73" spans="1:37" x14ac:dyDescent="0.25">
      <c r="A73" s="104" t="s">
        <v>61</v>
      </c>
      <c r="B73" s="104" t="s">
        <v>49</v>
      </c>
      <c r="C73" s="106">
        <v>10369</v>
      </c>
      <c r="D73" s="106">
        <v>9084</v>
      </c>
      <c r="E73" s="106">
        <v>7582</v>
      </c>
      <c r="F73" s="106">
        <v>7726</v>
      </c>
      <c r="G73" s="106">
        <v>9375</v>
      </c>
      <c r="H73" s="106">
        <v>10315</v>
      </c>
      <c r="I73" s="106">
        <v>8590</v>
      </c>
      <c r="J73" s="106">
        <v>9089</v>
      </c>
      <c r="K73" s="106">
        <v>10412</v>
      </c>
      <c r="L73" s="106">
        <v>9540</v>
      </c>
      <c r="M73" s="105">
        <v>12988.004999999999</v>
      </c>
      <c r="N73" s="105">
        <v>14479.706</v>
      </c>
      <c r="O73" s="105">
        <v>13216.267</v>
      </c>
      <c r="P73" s="105">
        <v>14264.623</v>
      </c>
      <c r="Q73" s="105">
        <v>12827.527</v>
      </c>
      <c r="R73" s="105">
        <v>11126.155000000001</v>
      </c>
      <c r="S73" s="105">
        <v>11575.647999999999</v>
      </c>
      <c r="T73" s="105">
        <v>11676.334000000001</v>
      </c>
      <c r="U73" s="105">
        <v>11571.999</v>
      </c>
      <c r="V73" s="105">
        <v>6828.0690000000004</v>
      </c>
      <c r="W73" s="105">
        <v>10938.066999999999</v>
      </c>
      <c r="X73" s="105">
        <v>9056.0210000000006</v>
      </c>
      <c r="Y73" s="106">
        <v>7654.13</v>
      </c>
      <c r="Z73" s="105">
        <v>8670.9660000000003</v>
      </c>
      <c r="AA73" s="105">
        <v>9525.9480000000003</v>
      </c>
      <c r="AB73" s="106">
        <v>7783.93</v>
      </c>
      <c r="AC73" s="105">
        <v>7377.3850000000002</v>
      </c>
      <c r="AD73" s="105">
        <v>7325.2290000000003</v>
      </c>
      <c r="AE73" s="105">
        <v>7787.7510000000002</v>
      </c>
      <c r="AF73" s="105">
        <v>7703.8450000000003</v>
      </c>
      <c r="AG73" s="105">
        <v>6318.0050000000001</v>
      </c>
      <c r="AH73" s="106">
        <v>8618.02</v>
      </c>
      <c r="AI73" s="105">
        <v>8168.1469999999999</v>
      </c>
      <c r="AJ73" s="105">
        <v>7005.1559999999999</v>
      </c>
      <c r="AK73" s="106">
        <v>6810.48</v>
      </c>
    </row>
    <row r="74" spans="1:37" x14ac:dyDescent="0.25">
      <c r="A74" s="104" t="s">
        <v>61</v>
      </c>
      <c r="B74" s="104" t="s">
        <v>50</v>
      </c>
      <c r="C74" s="107">
        <v>10979</v>
      </c>
      <c r="D74" s="107">
        <v>9683</v>
      </c>
      <c r="E74" s="107">
        <v>8246</v>
      </c>
      <c r="F74" s="107">
        <v>7202</v>
      </c>
      <c r="G74" s="107">
        <v>8642</v>
      </c>
      <c r="H74" s="107">
        <v>8180</v>
      </c>
      <c r="I74" s="107">
        <v>6357</v>
      </c>
      <c r="J74" s="107">
        <v>7011</v>
      </c>
      <c r="K74" s="107">
        <v>7231</v>
      </c>
      <c r="L74" s="107">
        <v>6499</v>
      </c>
      <c r="M74" s="107">
        <v>7720</v>
      </c>
      <c r="N74" s="107">
        <v>7539</v>
      </c>
      <c r="O74" s="107">
        <v>7498</v>
      </c>
      <c r="P74" s="107">
        <v>8567</v>
      </c>
      <c r="Q74" s="107">
        <v>9159</v>
      </c>
      <c r="R74" s="108">
        <v>7794.2139999999999</v>
      </c>
      <c r="S74" s="108">
        <v>10668.778</v>
      </c>
      <c r="T74" s="108">
        <v>10490.147999999999</v>
      </c>
      <c r="U74" s="108">
        <v>9917.4390000000003</v>
      </c>
      <c r="V74" s="108">
        <v>7737.0569999999998</v>
      </c>
      <c r="W74" s="108">
        <v>9499.8080000000009</v>
      </c>
      <c r="X74" s="108">
        <v>8826.1859999999997</v>
      </c>
      <c r="Y74" s="108">
        <v>8966.1460000000006</v>
      </c>
      <c r="Z74" s="108">
        <v>9118.5450000000001</v>
      </c>
      <c r="AA74" s="108">
        <v>9670.4179999999997</v>
      </c>
      <c r="AB74" s="108">
        <v>8439.8639999999996</v>
      </c>
      <c r="AC74" s="107">
        <v>9434.34</v>
      </c>
      <c r="AD74" s="108">
        <v>9071.5769999999993</v>
      </c>
      <c r="AE74" s="108">
        <v>9134.6959999999999</v>
      </c>
      <c r="AF74" s="108">
        <v>8651.9040000000005</v>
      </c>
      <c r="AG74" s="108">
        <v>8780.5789999999997</v>
      </c>
      <c r="AH74" s="108">
        <v>9519.5059999999994</v>
      </c>
      <c r="AI74" s="108">
        <v>8538.4719999999998</v>
      </c>
      <c r="AJ74" s="108">
        <v>9004.7549999999992</v>
      </c>
      <c r="AK74" s="108">
        <v>8235.3629999999994</v>
      </c>
    </row>
    <row r="75" spans="1:37" x14ac:dyDescent="0.25">
      <c r="A75" s="104" t="s">
        <v>61</v>
      </c>
      <c r="B75" s="104" t="s">
        <v>51</v>
      </c>
      <c r="C75" s="106">
        <v>-92</v>
      </c>
      <c r="D75" s="106">
        <v>389</v>
      </c>
      <c r="E75" s="106">
        <v>-1350</v>
      </c>
      <c r="F75" s="106">
        <v>906</v>
      </c>
      <c r="G75" s="106">
        <v>2295</v>
      </c>
      <c r="H75" s="106">
        <v>1328</v>
      </c>
      <c r="I75" s="106">
        <v>189</v>
      </c>
      <c r="J75" s="106">
        <v>997</v>
      </c>
      <c r="K75" s="106">
        <v>-944</v>
      </c>
      <c r="L75" s="106">
        <v>467</v>
      </c>
      <c r="M75" s="106">
        <v>1107</v>
      </c>
      <c r="N75" s="106">
        <v>-4</v>
      </c>
      <c r="O75" s="106">
        <v>1901</v>
      </c>
      <c r="P75" s="106">
        <v>298</v>
      </c>
      <c r="Q75" s="106">
        <v>-340</v>
      </c>
      <c r="R75" s="105">
        <v>-1308.1590000000001</v>
      </c>
      <c r="S75" s="105">
        <v>790.90099999999995</v>
      </c>
      <c r="T75" s="105">
        <v>-247.137</v>
      </c>
      <c r="U75" s="105">
        <v>-1366.7560000000001</v>
      </c>
      <c r="V75" s="105">
        <v>1113.5309999999999</v>
      </c>
      <c r="W75" s="105">
        <v>-118.235</v>
      </c>
      <c r="X75" s="105">
        <v>-39.033000000000001</v>
      </c>
      <c r="Y75" s="105">
        <v>20.076000000000001</v>
      </c>
      <c r="Z75" s="105">
        <v>-51.866999999999997</v>
      </c>
      <c r="AA75" s="105">
        <v>291.77100000000002</v>
      </c>
      <c r="AB75" s="105">
        <v>-262.863</v>
      </c>
      <c r="AC75" s="105">
        <v>-81.244</v>
      </c>
      <c r="AD75" s="106">
        <v>-54.22</v>
      </c>
      <c r="AE75" s="105">
        <v>-712.548</v>
      </c>
      <c r="AF75" s="106">
        <v>-678.44</v>
      </c>
      <c r="AG75" s="105">
        <v>428.887</v>
      </c>
      <c r="AH75" s="105">
        <v>2621.2020000000002</v>
      </c>
      <c r="AI75" s="105">
        <v>1417.6559999999999</v>
      </c>
      <c r="AJ75" s="105">
        <v>2228.127</v>
      </c>
      <c r="AK75" s="105">
        <v>2242.2779999999998</v>
      </c>
    </row>
    <row r="76" spans="1:37" x14ac:dyDescent="0.25">
      <c r="A76" s="104" t="s">
        <v>61</v>
      </c>
      <c r="B76" s="104" t="s">
        <v>52</v>
      </c>
      <c r="C76" s="107">
        <v>0</v>
      </c>
      <c r="D76" s="107">
        <v>0</v>
      </c>
      <c r="E76" s="107">
        <v>0</v>
      </c>
      <c r="F76" s="107">
        <v>0</v>
      </c>
      <c r="G76" s="107">
        <v>0</v>
      </c>
      <c r="H76" s="107">
        <v>0</v>
      </c>
      <c r="I76" s="107">
        <v>0</v>
      </c>
      <c r="J76" s="107">
        <v>0</v>
      </c>
      <c r="K76" s="107">
        <v>0</v>
      </c>
      <c r="L76" s="107">
        <v>0</v>
      </c>
      <c r="M76" s="107">
        <v>0</v>
      </c>
      <c r="N76" s="107">
        <v>0</v>
      </c>
      <c r="O76" s="107">
        <v>0</v>
      </c>
      <c r="P76" s="107">
        <v>0</v>
      </c>
      <c r="Q76" s="107">
        <v>0</v>
      </c>
      <c r="R76" s="107">
        <v>0</v>
      </c>
      <c r="S76" s="107">
        <v>0</v>
      </c>
      <c r="T76" s="107">
        <v>0</v>
      </c>
      <c r="U76" s="107">
        <v>0</v>
      </c>
      <c r="V76" s="107">
        <v>0</v>
      </c>
      <c r="W76" s="107">
        <v>0</v>
      </c>
      <c r="X76" s="107">
        <v>0</v>
      </c>
      <c r="Y76" s="107">
        <v>0</v>
      </c>
      <c r="Z76" s="107">
        <v>0</v>
      </c>
      <c r="AA76" s="107">
        <v>0</v>
      </c>
      <c r="AB76" s="107">
        <v>0</v>
      </c>
      <c r="AC76" s="107">
        <v>0</v>
      </c>
      <c r="AD76" s="107">
        <v>0</v>
      </c>
      <c r="AE76" s="107">
        <v>0</v>
      </c>
      <c r="AF76" s="107">
        <v>0</v>
      </c>
      <c r="AG76" s="107">
        <v>0</v>
      </c>
      <c r="AH76" s="107">
        <v>0</v>
      </c>
      <c r="AI76" s="107">
        <v>0</v>
      </c>
      <c r="AJ76" s="107">
        <v>0</v>
      </c>
      <c r="AK76" s="109" t="s">
        <v>255</v>
      </c>
    </row>
    <row r="77" spans="1:37" x14ac:dyDescent="0.25">
      <c r="A77" s="104" t="s">
        <v>61</v>
      </c>
      <c r="B77" s="104" t="s">
        <v>53</v>
      </c>
      <c r="C77" s="106">
        <v>79178</v>
      </c>
      <c r="D77" s="106">
        <v>67554</v>
      </c>
      <c r="E77" s="106">
        <v>62809</v>
      </c>
      <c r="F77" s="106">
        <v>60424</v>
      </c>
      <c r="G77" s="106">
        <v>62285</v>
      </c>
      <c r="H77" s="106">
        <v>62289</v>
      </c>
      <c r="I77" s="106">
        <v>58631</v>
      </c>
      <c r="J77" s="106">
        <v>59384</v>
      </c>
      <c r="K77" s="106">
        <v>55952</v>
      </c>
      <c r="L77" s="106">
        <v>51011</v>
      </c>
      <c r="M77" s="105">
        <v>54301.004999999997</v>
      </c>
      <c r="N77" s="105">
        <v>52805.705999999998</v>
      </c>
      <c r="O77" s="105">
        <v>51718.267</v>
      </c>
      <c r="P77" s="105">
        <v>51998.623</v>
      </c>
      <c r="Q77" s="105">
        <v>50841.527000000002</v>
      </c>
      <c r="R77" s="105">
        <v>47862.718999999997</v>
      </c>
      <c r="S77" s="105">
        <v>49138.807000000001</v>
      </c>
      <c r="T77" s="105">
        <v>47984.807999999997</v>
      </c>
      <c r="U77" s="105">
        <v>45561.417000000001</v>
      </c>
      <c r="V77" s="105">
        <v>33157.146000000001</v>
      </c>
      <c r="W77" s="105">
        <v>41245.732000000004</v>
      </c>
      <c r="X77" s="105">
        <v>39910.281999999999</v>
      </c>
      <c r="Y77" s="105">
        <v>36908.963000000003</v>
      </c>
      <c r="Z77" s="105">
        <v>36620.394999999997</v>
      </c>
      <c r="AA77" s="105">
        <v>36783.762999999999</v>
      </c>
      <c r="AB77" s="105">
        <v>35733.506999999998</v>
      </c>
      <c r="AC77" s="105">
        <v>34737.461000000003</v>
      </c>
      <c r="AD77" s="105">
        <v>35004.377</v>
      </c>
      <c r="AE77" s="105">
        <v>34744.493000000002</v>
      </c>
      <c r="AF77" s="105">
        <v>32872.097000000002</v>
      </c>
      <c r="AG77" s="105">
        <v>28101.352999999999</v>
      </c>
      <c r="AH77" s="105">
        <v>32983.071000000004</v>
      </c>
      <c r="AI77" s="105">
        <v>31298.304</v>
      </c>
      <c r="AJ77" s="105">
        <v>28076.266</v>
      </c>
      <c r="AK77" s="105">
        <v>28456.324000000001</v>
      </c>
    </row>
    <row r="78" spans="1:37" x14ac:dyDescent="0.25">
      <c r="A78" s="104" t="s">
        <v>62</v>
      </c>
      <c r="B78" s="104" t="s">
        <v>47</v>
      </c>
      <c r="C78" s="107">
        <v>155</v>
      </c>
      <c r="D78" s="107">
        <v>55</v>
      </c>
      <c r="E78" s="107">
        <v>28</v>
      </c>
      <c r="F78" s="107">
        <v>7</v>
      </c>
      <c r="G78" s="107">
        <v>1</v>
      </c>
      <c r="H78" s="107">
        <v>1</v>
      </c>
      <c r="I78" s="107">
        <v>1</v>
      </c>
      <c r="J78" s="107">
        <v>1</v>
      </c>
      <c r="K78" s="107">
        <v>1</v>
      </c>
      <c r="L78" s="107">
        <v>0</v>
      </c>
      <c r="M78" s="107">
        <v>0</v>
      </c>
      <c r="N78" s="107">
        <v>0</v>
      </c>
      <c r="O78" s="107">
        <v>0</v>
      </c>
      <c r="P78" s="107">
        <v>0</v>
      </c>
      <c r="Q78" s="107">
        <v>0</v>
      </c>
      <c r="R78" s="107">
        <v>0</v>
      </c>
      <c r="S78" s="107">
        <v>0</v>
      </c>
      <c r="T78" s="107">
        <v>0</v>
      </c>
      <c r="U78" s="107">
        <v>0</v>
      </c>
      <c r="V78" s="107">
        <v>0</v>
      </c>
      <c r="W78" s="107">
        <v>0</v>
      </c>
      <c r="X78" s="107">
        <v>0</v>
      </c>
      <c r="Y78" s="107">
        <v>0</v>
      </c>
      <c r="Z78" s="107">
        <v>0</v>
      </c>
      <c r="AA78" s="107">
        <v>0</v>
      </c>
      <c r="AB78" s="107">
        <v>0</v>
      </c>
      <c r="AC78" s="107">
        <v>0</v>
      </c>
      <c r="AD78" s="107">
        <v>0</v>
      </c>
      <c r="AE78" s="107">
        <v>0</v>
      </c>
      <c r="AF78" s="107">
        <v>0</v>
      </c>
      <c r="AG78" s="107">
        <v>0</v>
      </c>
      <c r="AH78" s="107">
        <v>0</v>
      </c>
      <c r="AI78" s="107">
        <v>0</v>
      </c>
      <c r="AJ78" s="107">
        <v>0</v>
      </c>
      <c r="AK78" s="107">
        <v>0</v>
      </c>
    </row>
    <row r="79" spans="1:37" x14ac:dyDescent="0.25">
      <c r="A79" s="104" t="s">
        <v>62</v>
      </c>
      <c r="B79" s="104" t="s">
        <v>48</v>
      </c>
      <c r="C79" s="106">
        <v>0</v>
      </c>
      <c r="D79" s="106">
        <v>0</v>
      </c>
      <c r="E79" s="106">
        <v>0</v>
      </c>
      <c r="F79" s="106">
        <v>0</v>
      </c>
      <c r="G79" s="106">
        <v>0</v>
      </c>
      <c r="H79" s="106">
        <v>0</v>
      </c>
      <c r="I79" s="106">
        <v>0</v>
      </c>
      <c r="J79" s="106">
        <v>0</v>
      </c>
      <c r="K79" s="106">
        <v>0</v>
      </c>
      <c r="L79" s="106">
        <v>0</v>
      </c>
      <c r="M79" s="106">
        <v>0</v>
      </c>
      <c r="N79" s="106">
        <v>0</v>
      </c>
      <c r="O79" s="106">
        <v>0</v>
      </c>
      <c r="P79" s="106">
        <v>0</v>
      </c>
      <c r="Q79" s="106">
        <v>0</v>
      </c>
      <c r="R79" s="106">
        <v>0</v>
      </c>
      <c r="S79" s="106">
        <v>0</v>
      </c>
      <c r="T79" s="106">
        <v>0</v>
      </c>
      <c r="U79" s="106">
        <v>0</v>
      </c>
      <c r="V79" s="106">
        <v>0</v>
      </c>
      <c r="W79" s="106">
        <v>0</v>
      </c>
      <c r="X79" s="106">
        <v>0</v>
      </c>
      <c r="Y79" s="106">
        <v>0</v>
      </c>
      <c r="Z79" s="106">
        <v>0</v>
      </c>
      <c r="AA79" s="106">
        <v>0</v>
      </c>
      <c r="AB79" s="106">
        <v>0</v>
      </c>
      <c r="AC79" s="106">
        <v>0</v>
      </c>
      <c r="AD79" s="106">
        <v>0</v>
      </c>
      <c r="AE79" s="106">
        <v>0</v>
      </c>
      <c r="AF79" s="106">
        <v>0</v>
      </c>
      <c r="AG79" s="106">
        <v>0</v>
      </c>
      <c r="AH79" s="106">
        <v>0</v>
      </c>
      <c r="AI79" s="106">
        <v>0</v>
      </c>
      <c r="AJ79" s="106">
        <v>0</v>
      </c>
      <c r="AK79" s="106">
        <v>0</v>
      </c>
    </row>
    <row r="80" spans="1:37" x14ac:dyDescent="0.25">
      <c r="A80" s="104" t="s">
        <v>62</v>
      </c>
      <c r="B80" s="104" t="s">
        <v>49</v>
      </c>
      <c r="C80" s="107">
        <v>0</v>
      </c>
      <c r="D80" s="107">
        <v>0</v>
      </c>
      <c r="E80" s="107">
        <v>0</v>
      </c>
      <c r="F80" s="107">
        <v>0</v>
      </c>
      <c r="G80" s="107">
        <v>0</v>
      </c>
      <c r="H80" s="107">
        <v>0</v>
      </c>
      <c r="I80" s="107">
        <v>0</v>
      </c>
      <c r="J80" s="107">
        <v>0</v>
      </c>
      <c r="K80" s="107">
        <v>0</v>
      </c>
      <c r="L80" s="107">
        <v>0</v>
      </c>
      <c r="M80" s="107">
        <v>0</v>
      </c>
      <c r="N80" s="107">
        <v>0</v>
      </c>
      <c r="O80" s="107">
        <v>0</v>
      </c>
      <c r="P80" s="107">
        <v>0</v>
      </c>
      <c r="Q80" s="107">
        <v>0</v>
      </c>
      <c r="R80" s="107">
        <v>0</v>
      </c>
      <c r="S80" s="107">
        <v>0</v>
      </c>
      <c r="T80" s="107">
        <v>0</v>
      </c>
      <c r="U80" s="107">
        <v>0</v>
      </c>
      <c r="V80" s="107">
        <v>0</v>
      </c>
      <c r="W80" s="107">
        <v>0</v>
      </c>
      <c r="X80" s="107">
        <v>0</v>
      </c>
      <c r="Y80" s="107">
        <v>0</v>
      </c>
      <c r="Z80" s="107">
        <v>0</v>
      </c>
      <c r="AA80" s="107">
        <v>0</v>
      </c>
      <c r="AB80" s="107">
        <v>0</v>
      </c>
      <c r="AC80" s="107">
        <v>0</v>
      </c>
      <c r="AD80" s="107">
        <v>0</v>
      </c>
      <c r="AE80" s="107">
        <v>0</v>
      </c>
      <c r="AF80" s="107">
        <v>0</v>
      </c>
      <c r="AG80" s="107">
        <v>0</v>
      </c>
      <c r="AH80" s="107">
        <v>0</v>
      </c>
      <c r="AI80" s="107">
        <v>0</v>
      </c>
      <c r="AJ80" s="107">
        <v>0</v>
      </c>
      <c r="AK80" s="107">
        <v>0</v>
      </c>
    </row>
    <row r="81" spans="1:37" x14ac:dyDescent="0.25">
      <c r="A81" s="104" t="s">
        <v>62</v>
      </c>
      <c r="B81" s="104" t="s">
        <v>50</v>
      </c>
      <c r="C81" s="106">
        <v>0</v>
      </c>
      <c r="D81" s="106">
        <v>0</v>
      </c>
      <c r="E81" s="106">
        <v>0</v>
      </c>
      <c r="F81" s="106">
        <v>0</v>
      </c>
      <c r="G81" s="106">
        <v>0</v>
      </c>
      <c r="H81" s="106">
        <v>0</v>
      </c>
      <c r="I81" s="106">
        <v>0</v>
      </c>
      <c r="J81" s="106">
        <v>0</v>
      </c>
      <c r="K81" s="106">
        <v>0</v>
      </c>
      <c r="L81" s="106">
        <v>0</v>
      </c>
      <c r="M81" s="106">
        <v>0</v>
      </c>
      <c r="N81" s="106">
        <v>0</v>
      </c>
      <c r="O81" s="106">
        <v>0</v>
      </c>
      <c r="P81" s="106">
        <v>0</v>
      </c>
      <c r="Q81" s="106">
        <v>0</v>
      </c>
      <c r="R81" s="106">
        <v>0</v>
      </c>
      <c r="S81" s="106">
        <v>0</v>
      </c>
      <c r="T81" s="106">
        <v>0</v>
      </c>
      <c r="U81" s="106">
        <v>0</v>
      </c>
      <c r="V81" s="106">
        <v>0</v>
      </c>
      <c r="W81" s="106">
        <v>0</v>
      </c>
      <c r="X81" s="106">
        <v>0</v>
      </c>
      <c r="Y81" s="106">
        <v>0</v>
      </c>
      <c r="Z81" s="106">
        <v>0</v>
      </c>
      <c r="AA81" s="106">
        <v>0</v>
      </c>
      <c r="AB81" s="106">
        <v>0</v>
      </c>
      <c r="AC81" s="106">
        <v>0</v>
      </c>
      <c r="AD81" s="106">
        <v>0</v>
      </c>
      <c r="AE81" s="106">
        <v>0</v>
      </c>
      <c r="AF81" s="106">
        <v>0</v>
      </c>
      <c r="AG81" s="106">
        <v>0</v>
      </c>
      <c r="AH81" s="106">
        <v>0</v>
      </c>
      <c r="AI81" s="106">
        <v>0</v>
      </c>
      <c r="AJ81" s="106">
        <v>0</v>
      </c>
      <c r="AK81" s="106">
        <v>0</v>
      </c>
    </row>
    <row r="82" spans="1:37" x14ac:dyDescent="0.25">
      <c r="A82" s="104" t="s">
        <v>62</v>
      </c>
      <c r="B82" s="104" t="s">
        <v>51</v>
      </c>
      <c r="C82" s="107">
        <v>0</v>
      </c>
      <c r="D82" s="107">
        <v>0</v>
      </c>
      <c r="E82" s="107">
        <v>0</v>
      </c>
      <c r="F82" s="107">
        <v>0</v>
      </c>
      <c r="G82" s="107">
        <v>0</v>
      </c>
      <c r="H82" s="107">
        <v>0</v>
      </c>
      <c r="I82" s="107">
        <v>0</v>
      </c>
      <c r="J82" s="107">
        <v>0</v>
      </c>
      <c r="K82" s="107">
        <v>0</v>
      </c>
      <c r="L82" s="107">
        <v>0</v>
      </c>
      <c r="M82" s="107">
        <v>0</v>
      </c>
      <c r="N82" s="107">
        <v>0</v>
      </c>
      <c r="O82" s="107">
        <v>0</v>
      </c>
      <c r="P82" s="107">
        <v>0</v>
      </c>
      <c r="Q82" s="107">
        <v>0</v>
      </c>
      <c r="R82" s="107">
        <v>0</v>
      </c>
      <c r="S82" s="107">
        <v>0</v>
      </c>
      <c r="T82" s="107">
        <v>0</v>
      </c>
      <c r="U82" s="107">
        <v>0</v>
      </c>
      <c r="V82" s="107">
        <v>0</v>
      </c>
      <c r="W82" s="107">
        <v>0</v>
      </c>
      <c r="X82" s="107">
        <v>0</v>
      </c>
      <c r="Y82" s="107">
        <v>0</v>
      </c>
      <c r="Z82" s="107">
        <v>0</v>
      </c>
      <c r="AA82" s="107">
        <v>0</v>
      </c>
      <c r="AB82" s="107">
        <v>0</v>
      </c>
      <c r="AC82" s="107">
        <v>0</v>
      </c>
      <c r="AD82" s="107">
        <v>0</v>
      </c>
      <c r="AE82" s="107">
        <v>0</v>
      </c>
      <c r="AF82" s="107">
        <v>0</v>
      </c>
      <c r="AG82" s="107">
        <v>0</v>
      </c>
      <c r="AH82" s="107">
        <v>0</v>
      </c>
      <c r="AI82" s="107">
        <v>0</v>
      </c>
      <c r="AJ82" s="107">
        <v>0</v>
      </c>
      <c r="AK82" s="107">
        <v>0</v>
      </c>
    </row>
    <row r="83" spans="1:37" x14ac:dyDescent="0.25">
      <c r="A83" s="104" t="s">
        <v>62</v>
      </c>
      <c r="B83" s="104" t="s">
        <v>52</v>
      </c>
      <c r="C83" s="106">
        <v>0</v>
      </c>
      <c r="D83" s="106">
        <v>0</v>
      </c>
      <c r="E83" s="106">
        <v>0</v>
      </c>
      <c r="F83" s="106">
        <v>0</v>
      </c>
      <c r="G83" s="106">
        <v>0</v>
      </c>
      <c r="H83" s="106">
        <v>0</v>
      </c>
      <c r="I83" s="106">
        <v>0</v>
      </c>
      <c r="J83" s="106">
        <v>0</v>
      </c>
      <c r="K83" s="106">
        <v>0</v>
      </c>
      <c r="L83" s="106">
        <v>0</v>
      </c>
      <c r="M83" s="106">
        <v>0</v>
      </c>
      <c r="N83" s="106">
        <v>0</v>
      </c>
      <c r="O83" s="106">
        <v>0</v>
      </c>
      <c r="P83" s="106">
        <v>0</v>
      </c>
      <c r="Q83" s="106">
        <v>0</v>
      </c>
      <c r="R83" s="106">
        <v>0</v>
      </c>
      <c r="S83" s="106">
        <v>0</v>
      </c>
      <c r="T83" s="106">
        <v>0</v>
      </c>
      <c r="U83" s="106">
        <v>0</v>
      </c>
      <c r="V83" s="106">
        <v>0</v>
      </c>
      <c r="W83" s="106">
        <v>0</v>
      </c>
      <c r="X83" s="106">
        <v>0</v>
      </c>
      <c r="Y83" s="106">
        <v>0</v>
      </c>
      <c r="Z83" s="106">
        <v>0</v>
      </c>
      <c r="AA83" s="106">
        <v>0</v>
      </c>
      <c r="AB83" s="106">
        <v>0</v>
      </c>
      <c r="AC83" s="106">
        <v>0</v>
      </c>
      <c r="AD83" s="106">
        <v>0</v>
      </c>
      <c r="AE83" s="106">
        <v>0</v>
      </c>
      <c r="AF83" s="106">
        <v>0</v>
      </c>
      <c r="AG83" s="106">
        <v>0</v>
      </c>
      <c r="AH83" s="106">
        <v>0</v>
      </c>
      <c r="AI83" s="106">
        <v>0</v>
      </c>
      <c r="AJ83" s="106">
        <v>0</v>
      </c>
      <c r="AK83" s="110" t="s">
        <v>255</v>
      </c>
    </row>
    <row r="84" spans="1:37" x14ac:dyDescent="0.25">
      <c r="A84" s="104" t="s">
        <v>62</v>
      </c>
      <c r="B84" s="104" t="s">
        <v>53</v>
      </c>
      <c r="C84" s="107">
        <v>155</v>
      </c>
      <c r="D84" s="107">
        <v>55</v>
      </c>
      <c r="E84" s="107">
        <v>28</v>
      </c>
      <c r="F84" s="107">
        <v>7</v>
      </c>
      <c r="G84" s="107">
        <v>1</v>
      </c>
      <c r="H84" s="107">
        <v>1</v>
      </c>
      <c r="I84" s="107">
        <v>1</v>
      </c>
      <c r="J84" s="107">
        <v>1</v>
      </c>
      <c r="K84" s="107">
        <v>1</v>
      </c>
      <c r="L84" s="107">
        <v>0</v>
      </c>
      <c r="M84" s="107">
        <v>0</v>
      </c>
      <c r="N84" s="107">
        <v>0</v>
      </c>
      <c r="O84" s="107">
        <v>0</v>
      </c>
      <c r="P84" s="107">
        <v>0</v>
      </c>
      <c r="Q84" s="107">
        <v>0</v>
      </c>
      <c r="R84" s="107">
        <v>0</v>
      </c>
      <c r="S84" s="107">
        <v>0</v>
      </c>
      <c r="T84" s="107">
        <v>0</v>
      </c>
      <c r="U84" s="107">
        <v>0</v>
      </c>
      <c r="V84" s="107">
        <v>0</v>
      </c>
      <c r="W84" s="107">
        <v>0</v>
      </c>
      <c r="X84" s="107">
        <v>0</v>
      </c>
      <c r="Y84" s="107">
        <v>0</v>
      </c>
      <c r="Z84" s="107">
        <v>0</v>
      </c>
      <c r="AA84" s="107">
        <v>0</v>
      </c>
      <c r="AB84" s="107">
        <v>0</v>
      </c>
      <c r="AC84" s="107">
        <v>0</v>
      </c>
      <c r="AD84" s="107">
        <v>0</v>
      </c>
      <c r="AE84" s="107">
        <v>0</v>
      </c>
      <c r="AF84" s="107">
        <v>0</v>
      </c>
      <c r="AG84" s="107">
        <v>0</v>
      </c>
      <c r="AH84" s="107">
        <v>0</v>
      </c>
      <c r="AI84" s="107">
        <v>0</v>
      </c>
      <c r="AJ84" s="107">
        <v>0</v>
      </c>
      <c r="AK84" s="107">
        <v>0</v>
      </c>
    </row>
    <row r="85" spans="1:37" x14ac:dyDescent="0.25">
      <c r="A85" s="104" t="s">
        <v>63</v>
      </c>
      <c r="B85" s="104" t="s">
        <v>47</v>
      </c>
      <c r="C85" s="106">
        <v>3533</v>
      </c>
      <c r="D85" s="106">
        <v>3610</v>
      </c>
      <c r="E85" s="106">
        <v>2057</v>
      </c>
      <c r="F85" s="106">
        <v>1717</v>
      </c>
      <c r="G85" s="106">
        <v>1311</v>
      </c>
      <c r="H85" s="106">
        <v>1031</v>
      </c>
      <c r="I85" s="106">
        <v>1006</v>
      </c>
      <c r="J85" s="106">
        <v>774</v>
      </c>
      <c r="K85" s="106">
        <v>540</v>
      </c>
      <c r="L85" s="106">
        <v>472</v>
      </c>
      <c r="M85" s="106">
        <v>363</v>
      </c>
      <c r="N85" s="106">
        <v>312</v>
      </c>
      <c r="O85" s="106">
        <v>209</v>
      </c>
      <c r="P85" s="106">
        <v>195</v>
      </c>
      <c r="Q85" s="106">
        <v>182</v>
      </c>
      <c r="R85" s="106">
        <v>160</v>
      </c>
      <c r="S85" s="106">
        <v>150</v>
      </c>
      <c r="T85" s="106">
        <v>119</v>
      </c>
      <c r="U85" s="106">
        <v>28</v>
      </c>
      <c r="V85" s="106">
        <v>16</v>
      </c>
      <c r="W85" s="106">
        <v>0</v>
      </c>
      <c r="X85" s="106">
        <v>5</v>
      </c>
      <c r="Y85" s="106">
        <v>0</v>
      </c>
      <c r="Z85" s="106">
        <v>0</v>
      </c>
      <c r="AA85" s="106">
        <v>3</v>
      </c>
      <c r="AB85" s="106">
        <v>3</v>
      </c>
      <c r="AC85" s="106">
        <v>2</v>
      </c>
      <c r="AD85" s="105">
        <v>2.3330000000000002</v>
      </c>
      <c r="AE85" s="105">
        <v>14.286</v>
      </c>
      <c r="AF85" s="105">
        <v>6.6189999999999998</v>
      </c>
      <c r="AG85" s="105">
        <v>10.647</v>
      </c>
      <c r="AH85" s="105">
        <v>9.4529999999999994</v>
      </c>
      <c r="AI85" s="105">
        <v>0.33600000000000002</v>
      </c>
      <c r="AJ85" s="106">
        <v>0</v>
      </c>
      <c r="AK85" s="106">
        <v>0</v>
      </c>
    </row>
    <row r="86" spans="1:37" x14ac:dyDescent="0.25">
      <c r="A86" s="104" t="s">
        <v>63</v>
      </c>
      <c r="B86" s="104" t="s">
        <v>48</v>
      </c>
      <c r="C86" s="107">
        <v>0</v>
      </c>
      <c r="D86" s="107">
        <v>0</v>
      </c>
      <c r="E86" s="107">
        <v>0</v>
      </c>
      <c r="F86" s="107">
        <v>0</v>
      </c>
      <c r="G86" s="107">
        <v>0</v>
      </c>
      <c r="H86" s="107">
        <v>0</v>
      </c>
      <c r="I86" s="107">
        <v>0</v>
      </c>
      <c r="J86" s="107">
        <v>0</v>
      </c>
      <c r="K86" s="107">
        <v>0</v>
      </c>
      <c r="L86" s="107">
        <v>0</v>
      </c>
      <c r="M86" s="107">
        <v>0</v>
      </c>
      <c r="N86" s="107">
        <v>0</v>
      </c>
      <c r="O86" s="107">
        <v>0</v>
      </c>
      <c r="P86" s="107">
        <v>0</v>
      </c>
      <c r="Q86" s="107">
        <v>0</v>
      </c>
      <c r="R86" s="107">
        <v>0</v>
      </c>
      <c r="S86" s="107">
        <v>0</v>
      </c>
      <c r="T86" s="107">
        <v>0</v>
      </c>
      <c r="U86" s="107">
        <v>0</v>
      </c>
      <c r="V86" s="107">
        <v>0</v>
      </c>
      <c r="W86" s="107">
        <v>0</v>
      </c>
      <c r="X86" s="107">
        <v>0</v>
      </c>
      <c r="Y86" s="107">
        <v>0</v>
      </c>
      <c r="Z86" s="107">
        <v>0</v>
      </c>
      <c r="AA86" s="107">
        <v>0</v>
      </c>
      <c r="AB86" s="107">
        <v>0</v>
      </c>
      <c r="AC86" s="107">
        <v>0</v>
      </c>
      <c r="AD86" s="107">
        <v>0</v>
      </c>
      <c r="AE86" s="107">
        <v>0</v>
      </c>
      <c r="AF86" s="107">
        <v>0</v>
      </c>
      <c r="AG86" s="107">
        <v>0</v>
      </c>
      <c r="AH86" s="107">
        <v>0</v>
      </c>
      <c r="AI86" s="107">
        <v>0</v>
      </c>
      <c r="AJ86" s="107">
        <v>0</v>
      </c>
      <c r="AK86" s="107">
        <v>0</v>
      </c>
    </row>
    <row r="87" spans="1:37" x14ac:dyDescent="0.25">
      <c r="A87" s="104" t="s">
        <v>63</v>
      </c>
      <c r="B87" s="104" t="s">
        <v>49</v>
      </c>
      <c r="C87" s="106">
        <v>240</v>
      </c>
      <c r="D87" s="106">
        <v>179</v>
      </c>
      <c r="E87" s="106">
        <v>163</v>
      </c>
      <c r="F87" s="106">
        <v>211</v>
      </c>
      <c r="G87" s="106">
        <v>160</v>
      </c>
      <c r="H87" s="106">
        <v>177</v>
      </c>
      <c r="I87" s="106">
        <v>252</v>
      </c>
      <c r="J87" s="106">
        <v>288</v>
      </c>
      <c r="K87" s="106">
        <v>240</v>
      </c>
      <c r="L87" s="106">
        <v>149</v>
      </c>
      <c r="M87" s="105">
        <v>122.211</v>
      </c>
      <c r="N87" s="105">
        <v>124.13800000000001</v>
      </c>
      <c r="O87" s="105">
        <v>124.187</v>
      </c>
      <c r="P87" s="105">
        <v>102.056</v>
      </c>
      <c r="Q87" s="105">
        <v>100.108</v>
      </c>
      <c r="R87" s="105">
        <v>157.161</v>
      </c>
      <c r="S87" s="105">
        <v>156.905</v>
      </c>
      <c r="T87" s="105">
        <v>149.95099999999999</v>
      </c>
      <c r="U87" s="105">
        <v>207.78299999999999</v>
      </c>
      <c r="V87" s="105">
        <v>202.01499999999999</v>
      </c>
      <c r="W87" s="105">
        <v>490.166</v>
      </c>
      <c r="X87" s="105">
        <v>372.43799999999999</v>
      </c>
      <c r="Y87" s="105">
        <v>268.67099999999999</v>
      </c>
      <c r="Z87" s="105">
        <v>243.172</v>
      </c>
      <c r="AA87" s="105">
        <v>169.53200000000001</v>
      </c>
      <c r="AB87" s="106">
        <v>214.44</v>
      </c>
      <c r="AC87" s="105">
        <v>201.21700000000001</v>
      </c>
      <c r="AD87" s="105">
        <v>175.667</v>
      </c>
      <c r="AE87" s="106">
        <v>176</v>
      </c>
      <c r="AF87" s="105">
        <v>117.06399999999999</v>
      </c>
      <c r="AG87" s="105">
        <v>92.120999999999995</v>
      </c>
      <c r="AH87" s="105">
        <v>102.381</v>
      </c>
      <c r="AI87" s="105">
        <v>146.64699999999999</v>
      </c>
      <c r="AJ87" s="105">
        <v>87.792000000000002</v>
      </c>
      <c r="AK87" s="105">
        <v>82.688999999999993</v>
      </c>
    </row>
    <row r="88" spans="1:37" x14ac:dyDescent="0.25">
      <c r="A88" s="104" t="s">
        <v>63</v>
      </c>
      <c r="B88" s="104" t="s">
        <v>50</v>
      </c>
      <c r="C88" s="107">
        <v>395</v>
      </c>
      <c r="D88" s="107">
        <v>358</v>
      </c>
      <c r="E88" s="107">
        <v>320</v>
      </c>
      <c r="F88" s="107">
        <v>278</v>
      </c>
      <c r="G88" s="107">
        <v>224</v>
      </c>
      <c r="H88" s="107">
        <v>171</v>
      </c>
      <c r="I88" s="107">
        <v>191</v>
      </c>
      <c r="J88" s="107">
        <v>211</v>
      </c>
      <c r="K88" s="107">
        <v>52</v>
      </c>
      <c r="L88" s="107">
        <v>32</v>
      </c>
      <c r="M88" s="107">
        <v>74</v>
      </c>
      <c r="N88" s="107">
        <v>77</v>
      </c>
      <c r="O88" s="107">
        <v>81</v>
      </c>
      <c r="P88" s="107">
        <v>67</v>
      </c>
      <c r="Q88" s="107">
        <v>65</v>
      </c>
      <c r="R88" s="107">
        <v>56</v>
      </c>
      <c r="S88" s="108">
        <v>68.001999999999995</v>
      </c>
      <c r="T88" s="108">
        <v>49.009</v>
      </c>
      <c r="U88" s="107">
        <v>15</v>
      </c>
      <c r="V88" s="107">
        <v>16</v>
      </c>
      <c r="W88" s="107">
        <v>13</v>
      </c>
      <c r="X88" s="107">
        <v>33</v>
      </c>
      <c r="Y88" s="107">
        <v>17</v>
      </c>
      <c r="Z88" s="107">
        <v>12</v>
      </c>
      <c r="AA88" s="107">
        <v>16</v>
      </c>
      <c r="AB88" s="107">
        <v>18</v>
      </c>
      <c r="AC88" s="107">
        <v>10</v>
      </c>
      <c r="AD88" s="108">
        <v>9.2460000000000004</v>
      </c>
      <c r="AE88" s="108">
        <v>12.635</v>
      </c>
      <c r="AF88" s="108">
        <v>27.456</v>
      </c>
      <c r="AG88" s="108">
        <v>22.148</v>
      </c>
      <c r="AH88" s="107">
        <v>24.59</v>
      </c>
      <c r="AI88" s="108">
        <v>27.099</v>
      </c>
      <c r="AJ88" s="108">
        <v>35.048999999999999</v>
      </c>
      <c r="AK88" s="108">
        <v>19.675999999999998</v>
      </c>
    </row>
    <row r="89" spans="1:37" x14ac:dyDescent="0.25">
      <c r="A89" s="104" t="s">
        <v>63</v>
      </c>
      <c r="B89" s="104" t="s">
        <v>51</v>
      </c>
      <c r="C89" s="106">
        <v>132</v>
      </c>
      <c r="D89" s="106">
        <v>38</v>
      </c>
      <c r="E89" s="106">
        <v>32</v>
      </c>
      <c r="F89" s="106">
        <v>32</v>
      </c>
      <c r="G89" s="106">
        <v>27</v>
      </c>
      <c r="H89" s="106">
        <v>14</v>
      </c>
      <c r="I89" s="106">
        <v>17</v>
      </c>
      <c r="J89" s="106">
        <v>-11</v>
      </c>
      <c r="K89" s="106">
        <v>1</v>
      </c>
      <c r="L89" s="106">
        <v>-6</v>
      </c>
      <c r="M89" s="106">
        <v>-12</v>
      </c>
      <c r="N89" s="106">
        <v>-28</v>
      </c>
      <c r="O89" s="106">
        <v>43</v>
      </c>
      <c r="P89" s="106">
        <v>34</v>
      </c>
      <c r="Q89" s="106">
        <v>5</v>
      </c>
      <c r="R89" s="106">
        <v>-12</v>
      </c>
      <c r="S89" s="106">
        <v>-4</v>
      </c>
      <c r="T89" s="106">
        <v>-2</v>
      </c>
      <c r="U89" s="106">
        <v>-4</v>
      </c>
      <c r="V89" s="106">
        <v>-5</v>
      </c>
      <c r="W89" s="106">
        <v>3</v>
      </c>
      <c r="X89" s="106">
        <v>-4</v>
      </c>
      <c r="Y89" s="106">
        <v>5</v>
      </c>
      <c r="Z89" s="106">
        <v>-2</v>
      </c>
      <c r="AA89" s="106">
        <v>1</v>
      </c>
      <c r="AB89" s="106">
        <v>0</v>
      </c>
      <c r="AC89" s="106">
        <v>1</v>
      </c>
      <c r="AD89" s="106">
        <v>-1.28</v>
      </c>
      <c r="AE89" s="105">
        <v>-4.7149999999999999</v>
      </c>
      <c r="AF89" s="106">
        <v>5.96</v>
      </c>
      <c r="AG89" s="105">
        <v>0.38900000000000001</v>
      </c>
      <c r="AH89" s="105">
        <v>1.2E-2</v>
      </c>
      <c r="AI89" s="105">
        <v>6.6000000000000003E-2</v>
      </c>
      <c r="AJ89" s="105">
        <v>11.805999999999999</v>
      </c>
      <c r="AK89" s="105">
        <v>0.88300000000000001</v>
      </c>
    </row>
    <row r="90" spans="1:37" x14ac:dyDescent="0.25">
      <c r="A90" s="104" t="s">
        <v>63</v>
      </c>
      <c r="B90" s="104" t="s">
        <v>52</v>
      </c>
      <c r="C90" s="107">
        <v>0</v>
      </c>
      <c r="D90" s="107">
        <v>0</v>
      </c>
      <c r="E90" s="107">
        <v>0</v>
      </c>
      <c r="F90" s="107">
        <v>0</v>
      </c>
      <c r="G90" s="107">
        <v>0</v>
      </c>
      <c r="H90" s="107">
        <v>0</v>
      </c>
      <c r="I90" s="107">
        <v>0</v>
      </c>
      <c r="J90" s="107">
        <v>0</v>
      </c>
      <c r="K90" s="107">
        <v>0</v>
      </c>
      <c r="L90" s="107">
        <v>0</v>
      </c>
      <c r="M90" s="107">
        <v>0</v>
      </c>
      <c r="N90" s="107">
        <v>0</v>
      </c>
      <c r="O90" s="107">
        <v>0</v>
      </c>
      <c r="P90" s="107">
        <v>0</v>
      </c>
      <c r="Q90" s="107">
        <v>0</v>
      </c>
      <c r="R90" s="107">
        <v>0</v>
      </c>
      <c r="S90" s="107">
        <v>0</v>
      </c>
      <c r="T90" s="107">
        <v>0</v>
      </c>
      <c r="U90" s="107">
        <v>0</v>
      </c>
      <c r="V90" s="107">
        <v>0</v>
      </c>
      <c r="W90" s="107">
        <v>0</v>
      </c>
      <c r="X90" s="107">
        <v>0</v>
      </c>
      <c r="Y90" s="107">
        <v>0</v>
      </c>
      <c r="Z90" s="107">
        <v>0</v>
      </c>
      <c r="AA90" s="107">
        <v>0</v>
      </c>
      <c r="AB90" s="107">
        <v>0</v>
      </c>
      <c r="AC90" s="107">
        <v>0</v>
      </c>
      <c r="AD90" s="107">
        <v>0</v>
      </c>
      <c r="AE90" s="107">
        <v>0</v>
      </c>
      <c r="AF90" s="107">
        <v>0</v>
      </c>
      <c r="AG90" s="107">
        <v>0</v>
      </c>
      <c r="AH90" s="107">
        <v>0</v>
      </c>
      <c r="AI90" s="107">
        <v>0</v>
      </c>
      <c r="AJ90" s="107">
        <v>0</v>
      </c>
      <c r="AK90" s="109" t="s">
        <v>255</v>
      </c>
    </row>
    <row r="91" spans="1:37" x14ac:dyDescent="0.25">
      <c r="A91" s="104" t="s">
        <v>63</v>
      </c>
      <c r="B91" s="104" t="s">
        <v>53</v>
      </c>
      <c r="C91" s="106">
        <v>3510</v>
      </c>
      <c r="D91" s="106">
        <v>3469</v>
      </c>
      <c r="E91" s="106">
        <v>1932</v>
      </c>
      <c r="F91" s="106">
        <v>1682</v>
      </c>
      <c r="G91" s="106">
        <v>1274</v>
      </c>
      <c r="H91" s="106">
        <v>1051</v>
      </c>
      <c r="I91" s="106">
        <v>1084</v>
      </c>
      <c r="J91" s="106">
        <v>840</v>
      </c>
      <c r="K91" s="106">
        <v>729</v>
      </c>
      <c r="L91" s="106">
        <v>583</v>
      </c>
      <c r="M91" s="105">
        <v>399.21100000000001</v>
      </c>
      <c r="N91" s="105">
        <v>331.13799999999998</v>
      </c>
      <c r="O91" s="105">
        <v>295.18700000000001</v>
      </c>
      <c r="P91" s="105">
        <v>264.05599999999998</v>
      </c>
      <c r="Q91" s="105">
        <v>222.108</v>
      </c>
      <c r="R91" s="105">
        <v>249.161</v>
      </c>
      <c r="S91" s="105">
        <v>234.90299999999999</v>
      </c>
      <c r="T91" s="105">
        <v>217.94200000000001</v>
      </c>
      <c r="U91" s="105">
        <v>216.78299999999999</v>
      </c>
      <c r="V91" s="105">
        <v>197.01499999999999</v>
      </c>
      <c r="W91" s="105">
        <v>480.166</v>
      </c>
      <c r="X91" s="105">
        <v>340.43799999999999</v>
      </c>
      <c r="Y91" s="105">
        <v>256.67099999999999</v>
      </c>
      <c r="Z91" s="105">
        <v>229.172</v>
      </c>
      <c r="AA91" s="105">
        <v>157.53200000000001</v>
      </c>
      <c r="AB91" s="106">
        <v>199.44</v>
      </c>
      <c r="AC91" s="105">
        <v>194.21700000000001</v>
      </c>
      <c r="AD91" s="105">
        <v>167.47399999999999</v>
      </c>
      <c r="AE91" s="105">
        <v>172.93600000000001</v>
      </c>
      <c r="AF91" s="105">
        <v>102.187</v>
      </c>
      <c r="AG91" s="105">
        <v>81.009</v>
      </c>
      <c r="AH91" s="105">
        <v>87.256</v>
      </c>
      <c r="AI91" s="106">
        <v>119.95</v>
      </c>
      <c r="AJ91" s="105">
        <v>64.549000000000007</v>
      </c>
      <c r="AK91" s="105">
        <v>63.896000000000001</v>
      </c>
    </row>
    <row r="92" spans="1:37" x14ac:dyDescent="0.25">
      <c r="A92" s="104" t="s">
        <v>64</v>
      </c>
      <c r="B92" s="104" t="s">
        <v>47</v>
      </c>
      <c r="C92" s="107">
        <v>47819</v>
      </c>
      <c r="D92" s="107">
        <v>29267</v>
      </c>
      <c r="E92" s="107">
        <v>19091</v>
      </c>
      <c r="F92" s="107">
        <v>16454</v>
      </c>
      <c r="G92" s="107">
        <v>13290</v>
      </c>
      <c r="H92" s="107">
        <v>10763</v>
      </c>
      <c r="I92" s="107">
        <v>10588</v>
      </c>
      <c r="J92" s="107">
        <v>8719</v>
      </c>
      <c r="K92" s="107">
        <v>7218</v>
      </c>
      <c r="L92" s="107">
        <v>6907</v>
      </c>
      <c r="M92" s="107">
        <v>6777</v>
      </c>
      <c r="N92" s="107">
        <v>6602</v>
      </c>
      <c r="O92" s="107">
        <v>6709</v>
      </c>
      <c r="P92" s="107">
        <v>6669</v>
      </c>
      <c r="Q92" s="107">
        <v>6840</v>
      </c>
      <c r="R92" s="107">
        <v>7227</v>
      </c>
      <c r="S92" s="107">
        <v>8003</v>
      </c>
      <c r="T92" s="107">
        <v>7807</v>
      </c>
      <c r="U92" s="107">
        <v>8104</v>
      </c>
      <c r="V92" s="107">
        <v>7594</v>
      </c>
      <c r="W92" s="107">
        <v>7837</v>
      </c>
      <c r="X92" s="107">
        <v>7871</v>
      </c>
      <c r="Y92" s="107">
        <v>7925</v>
      </c>
      <c r="Z92" s="107">
        <v>8686</v>
      </c>
      <c r="AA92" s="107">
        <v>8419</v>
      </c>
      <c r="AB92" s="107">
        <v>7717</v>
      </c>
      <c r="AC92" s="107">
        <v>7849</v>
      </c>
      <c r="AD92" s="108">
        <v>8024.5190000000002</v>
      </c>
      <c r="AE92" s="108">
        <v>7736.4849999999997</v>
      </c>
      <c r="AF92" s="107">
        <v>6834.09</v>
      </c>
      <c r="AG92" s="108">
        <v>6113.7139999999999</v>
      </c>
      <c r="AH92" s="108">
        <v>6416.4040000000005</v>
      </c>
      <c r="AI92" s="108">
        <v>5914.0320000000002</v>
      </c>
      <c r="AJ92" s="108">
        <v>4960.4170000000004</v>
      </c>
      <c r="AK92" s="107">
        <v>4592.0200000000004</v>
      </c>
    </row>
    <row r="93" spans="1:37" x14ac:dyDescent="0.25">
      <c r="A93" s="104" t="s">
        <v>64</v>
      </c>
      <c r="B93" s="104" t="s">
        <v>48</v>
      </c>
      <c r="C93" s="106">
        <v>0</v>
      </c>
      <c r="D93" s="106">
        <v>0</v>
      </c>
      <c r="E93" s="106">
        <v>0</v>
      </c>
      <c r="F93" s="106">
        <v>0</v>
      </c>
      <c r="G93" s="106">
        <v>0</v>
      </c>
      <c r="H93" s="106">
        <v>0</v>
      </c>
      <c r="I93" s="106">
        <v>0</v>
      </c>
      <c r="J93" s="106">
        <v>0</v>
      </c>
      <c r="K93" s="106">
        <v>0</v>
      </c>
      <c r="L93" s="106">
        <v>0</v>
      </c>
      <c r="M93" s="106">
        <v>0</v>
      </c>
      <c r="N93" s="106">
        <v>0</v>
      </c>
      <c r="O93" s="106">
        <v>0</v>
      </c>
      <c r="P93" s="106">
        <v>0</v>
      </c>
      <c r="Q93" s="106">
        <v>0</v>
      </c>
      <c r="R93" s="106">
        <v>0</v>
      </c>
      <c r="S93" s="106">
        <v>0</v>
      </c>
      <c r="T93" s="106">
        <v>12</v>
      </c>
      <c r="U93" s="106">
        <v>0</v>
      </c>
      <c r="V93" s="106">
        <v>0</v>
      </c>
      <c r="W93" s="106">
        <v>0</v>
      </c>
      <c r="X93" s="106">
        <v>0</v>
      </c>
      <c r="Y93" s="106">
        <v>0</v>
      </c>
      <c r="Z93" s="106">
        <v>0</v>
      </c>
      <c r="AA93" s="106">
        <v>0</v>
      </c>
      <c r="AB93" s="106">
        <v>0</v>
      </c>
      <c r="AC93" s="106">
        <v>0</v>
      </c>
      <c r="AD93" s="106">
        <v>0</v>
      </c>
      <c r="AE93" s="106">
        <v>0</v>
      </c>
      <c r="AF93" s="106">
        <v>0</v>
      </c>
      <c r="AG93" s="106">
        <v>0</v>
      </c>
      <c r="AH93" s="106">
        <v>0</v>
      </c>
      <c r="AI93" s="106">
        <v>0</v>
      </c>
      <c r="AJ93" s="106">
        <v>0</v>
      </c>
      <c r="AK93" s="106">
        <v>0</v>
      </c>
    </row>
    <row r="94" spans="1:37" x14ac:dyDescent="0.25">
      <c r="A94" s="104" t="s">
        <v>64</v>
      </c>
      <c r="B94" s="104" t="s">
        <v>49</v>
      </c>
      <c r="C94" s="107">
        <v>3380</v>
      </c>
      <c r="D94" s="107">
        <v>1010</v>
      </c>
      <c r="E94" s="107">
        <v>817</v>
      </c>
      <c r="F94" s="107">
        <v>894</v>
      </c>
      <c r="G94" s="107">
        <v>838</v>
      </c>
      <c r="H94" s="107">
        <v>824</v>
      </c>
      <c r="I94" s="108">
        <v>905.24599999999998</v>
      </c>
      <c r="J94" s="108">
        <v>702.44299999999998</v>
      </c>
      <c r="K94" s="108">
        <v>497.85399999999998</v>
      </c>
      <c r="L94" s="108">
        <v>415.858</v>
      </c>
      <c r="M94" s="108">
        <v>570.52800000000002</v>
      </c>
      <c r="N94" s="108">
        <v>562.96100000000001</v>
      </c>
      <c r="O94" s="108">
        <v>516.81899999999996</v>
      </c>
      <c r="P94" s="108">
        <v>513.82899999999995</v>
      </c>
      <c r="Q94" s="108">
        <v>445.75799999999998</v>
      </c>
      <c r="R94" s="108">
        <v>470.59399999999999</v>
      </c>
      <c r="S94" s="108">
        <v>584.226</v>
      </c>
      <c r="T94" s="108">
        <v>589.54399999999998</v>
      </c>
      <c r="U94" s="107">
        <v>575.22</v>
      </c>
      <c r="V94" s="108">
        <v>613.51400000000001</v>
      </c>
      <c r="W94" s="108">
        <v>764.59699999999998</v>
      </c>
      <c r="X94" s="108">
        <v>917.351</v>
      </c>
      <c r="Y94" s="108">
        <v>912.13900000000001</v>
      </c>
      <c r="Z94" s="108">
        <v>958.375</v>
      </c>
      <c r="AA94" s="107">
        <v>912.08</v>
      </c>
      <c r="AB94" s="108">
        <v>817.61900000000003</v>
      </c>
      <c r="AC94" s="108">
        <v>811.79100000000005</v>
      </c>
      <c r="AD94" s="108">
        <v>853.69500000000005</v>
      </c>
      <c r="AE94" s="108">
        <v>863.02700000000004</v>
      </c>
      <c r="AF94" s="108">
        <v>799.24699999999996</v>
      </c>
      <c r="AG94" s="108">
        <v>576.47500000000002</v>
      </c>
      <c r="AH94" s="108">
        <v>704.303</v>
      </c>
      <c r="AI94" s="108">
        <v>625.56399999999996</v>
      </c>
      <c r="AJ94" s="108">
        <v>424.43700000000001</v>
      </c>
      <c r="AK94" s="107">
        <v>341.86</v>
      </c>
    </row>
    <row r="95" spans="1:37" x14ac:dyDescent="0.25">
      <c r="A95" s="104" t="s">
        <v>64</v>
      </c>
      <c r="B95" s="104" t="s">
        <v>50</v>
      </c>
      <c r="C95" s="105">
        <v>4088.971</v>
      </c>
      <c r="D95" s="106">
        <v>1779</v>
      </c>
      <c r="E95" s="106">
        <v>771</v>
      </c>
      <c r="F95" s="106">
        <v>1202</v>
      </c>
      <c r="G95" s="106">
        <v>1063</v>
      </c>
      <c r="H95" s="106">
        <v>1149</v>
      </c>
      <c r="I95" s="105">
        <v>1241.4680000000001</v>
      </c>
      <c r="J95" s="105">
        <v>1028.8340000000001</v>
      </c>
      <c r="K95" s="106">
        <v>758</v>
      </c>
      <c r="L95" s="106">
        <v>662</v>
      </c>
      <c r="M95" s="106">
        <v>596</v>
      </c>
      <c r="N95" s="106">
        <v>733</v>
      </c>
      <c r="O95" s="106">
        <v>904</v>
      </c>
      <c r="P95" s="106">
        <v>840</v>
      </c>
      <c r="Q95" s="106">
        <v>821</v>
      </c>
      <c r="R95" s="106">
        <v>878.42</v>
      </c>
      <c r="S95" s="105">
        <v>1067.5920000000001</v>
      </c>
      <c r="T95" s="105">
        <v>1023.5890000000001</v>
      </c>
      <c r="U95" s="105">
        <v>1188.931</v>
      </c>
      <c r="V95" s="105">
        <v>1220.4680000000001</v>
      </c>
      <c r="W95" s="105">
        <v>1381.0440000000001</v>
      </c>
      <c r="X95" s="105">
        <v>1525.845</v>
      </c>
      <c r="Y95" s="105">
        <v>1598.6510000000001</v>
      </c>
      <c r="Z95" s="105">
        <v>1582.5429999999999</v>
      </c>
      <c r="AA95" s="105">
        <v>1634.9690000000001</v>
      </c>
      <c r="AB95" s="105">
        <v>1530.6189999999999</v>
      </c>
      <c r="AC95" s="105">
        <v>1482.3910000000001</v>
      </c>
      <c r="AD95" s="105">
        <v>1594.0809999999999</v>
      </c>
      <c r="AE95" s="105">
        <v>1603.616</v>
      </c>
      <c r="AF95" s="105">
        <v>1432.212</v>
      </c>
      <c r="AG95" s="106">
        <v>1200.1400000000001</v>
      </c>
      <c r="AH95" s="105">
        <v>1337.3109999999999</v>
      </c>
      <c r="AI95" s="105">
        <v>1346.3330000000001</v>
      </c>
      <c r="AJ95" s="105">
        <v>1138.1369999999999</v>
      </c>
      <c r="AK95" s="105">
        <v>1008.5359999999999</v>
      </c>
    </row>
    <row r="96" spans="1:37" x14ac:dyDescent="0.25">
      <c r="A96" s="104" t="s">
        <v>64</v>
      </c>
      <c r="B96" s="104" t="s">
        <v>51</v>
      </c>
      <c r="C96" s="107">
        <v>1998</v>
      </c>
      <c r="D96" s="107">
        <v>74</v>
      </c>
      <c r="E96" s="107">
        <v>134</v>
      </c>
      <c r="F96" s="107">
        <v>92</v>
      </c>
      <c r="G96" s="107">
        <v>34</v>
      </c>
      <c r="H96" s="107">
        <v>19</v>
      </c>
      <c r="I96" s="108">
        <v>0.94599999999999995</v>
      </c>
      <c r="J96" s="108">
        <v>-14.526999999999999</v>
      </c>
      <c r="K96" s="108">
        <v>-9.0359999999999996</v>
      </c>
      <c r="L96" s="108">
        <v>-9.3680000000000003</v>
      </c>
      <c r="M96" s="107">
        <v>38.450000000000003</v>
      </c>
      <c r="N96" s="107">
        <v>-6.5</v>
      </c>
      <c r="O96" s="107">
        <v>-7</v>
      </c>
      <c r="P96" s="107">
        <v>-24</v>
      </c>
      <c r="Q96" s="107">
        <v>-32</v>
      </c>
      <c r="R96" s="108">
        <v>-36.804000000000002</v>
      </c>
      <c r="S96" s="108">
        <v>-23.327999999999999</v>
      </c>
      <c r="T96" s="108">
        <v>9.8719999999999999</v>
      </c>
      <c r="U96" s="108">
        <v>-59.720999999999997</v>
      </c>
      <c r="V96" s="108">
        <v>-28.975999999999999</v>
      </c>
      <c r="W96" s="108">
        <v>47.262999999999998</v>
      </c>
      <c r="X96" s="107">
        <v>106.86</v>
      </c>
      <c r="Y96" s="108">
        <v>-15.522</v>
      </c>
      <c r="Z96" s="108">
        <v>101.913</v>
      </c>
      <c r="AA96" s="108">
        <v>49.765999999999998</v>
      </c>
      <c r="AB96" s="108">
        <v>47.823999999999998</v>
      </c>
      <c r="AC96" s="108">
        <v>44.029000000000003</v>
      </c>
      <c r="AD96" s="108">
        <v>-97.727999999999994</v>
      </c>
      <c r="AE96" s="108">
        <v>-237.15899999999999</v>
      </c>
      <c r="AF96" s="108">
        <v>-153.55799999999999</v>
      </c>
      <c r="AG96" s="108">
        <v>12.372999999999999</v>
      </c>
      <c r="AH96" s="108">
        <v>170.989</v>
      </c>
      <c r="AI96" s="108">
        <v>189.94300000000001</v>
      </c>
      <c r="AJ96" s="108">
        <v>40.374000000000002</v>
      </c>
      <c r="AK96" s="108">
        <v>28.302</v>
      </c>
    </row>
    <row r="97" spans="1:37" x14ac:dyDescent="0.25">
      <c r="A97" s="104" t="s">
        <v>64</v>
      </c>
      <c r="B97" s="104" t="s">
        <v>52</v>
      </c>
      <c r="C97" s="106">
        <v>0</v>
      </c>
      <c r="D97" s="106">
        <v>0</v>
      </c>
      <c r="E97" s="106">
        <v>0</v>
      </c>
      <c r="F97" s="106">
        <v>0</v>
      </c>
      <c r="G97" s="106">
        <v>0</v>
      </c>
      <c r="H97" s="106">
        <v>0</v>
      </c>
      <c r="I97" s="106">
        <v>0</v>
      </c>
      <c r="J97" s="106">
        <v>0</v>
      </c>
      <c r="K97" s="106">
        <v>0</v>
      </c>
      <c r="L97" s="106">
        <v>0</v>
      </c>
      <c r="M97" s="106">
        <v>0</v>
      </c>
      <c r="N97" s="106">
        <v>0</v>
      </c>
      <c r="O97" s="106">
        <v>0</v>
      </c>
      <c r="P97" s="106">
        <v>0</v>
      </c>
      <c r="Q97" s="106">
        <v>0</v>
      </c>
      <c r="R97" s="106">
        <v>0</v>
      </c>
      <c r="S97" s="106">
        <v>0</v>
      </c>
      <c r="T97" s="106">
        <v>0</v>
      </c>
      <c r="U97" s="106">
        <v>0</v>
      </c>
      <c r="V97" s="106">
        <v>0</v>
      </c>
      <c r="W97" s="106">
        <v>0</v>
      </c>
      <c r="X97" s="106">
        <v>0</v>
      </c>
      <c r="Y97" s="106">
        <v>0</v>
      </c>
      <c r="Z97" s="106">
        <v>0</v>
      </c>
      <c r="AA97" s="106">
        <v>0</v>
      </c>
      <c r="AB97" s="106">
        <v>0</v>
      </c>
      <c r="AC97" s="106">
        <v>0</v>
      </c>
      <c r="AD97" s="106">
        <v>0</v>
      </c>
      <c r="AE97" s="106">
        <v>0</v>
      </c>
      <c r="AF97" s="106">
        <v>0</v>
      </c>
      <c r="AG97" s="106">
        <v>0</v>
      </c>
      <c r="AH97" s="106">
        <v>0</v>
      </c>
      <c r="AI97" s="106">
        <v>0</v>
      </c>
      <c r="AJ97" s="106">
        <v>0</v>
      </c>
      <c r="AK97" s="110" t="s">
        <v>255</v>
      </c>
    </row>
    <row r="98" spans="1:37" x14ac:dyDescent="0.25">
      <c r="A98" s="104" t="s">
        <v>64</v>
      </c>
      <c r="B98" s="104" t="s">
        <v>53</v>
      </c>
      <c r="C98" s="108">
        <v>49108.029000000002</v>
      </c>
      <c r="D98" s="107">
        <v>28572</v>
      </c>
      <c r="E98" s="107">
        <v>19271</v>
      </c>
      <c r="F98" s="107">
        <v>16238</v>
      </c>
      <c r="G98" s="107">
        <v>13099</v>
      </c>
      <c r="H98" s="107">
        <v>10457</v>
      </c>
      <c r="I98" s="108">
        <v>10252.724</v>
      </c>
      <c r="J98" s="108">
        <v>8378.0820000000003</v>
      </c>
      <c r="K98" s="108">
        <v>6948.8180000000002</v>
      </c>
      <c r="L98" s="107">
        <v>6651.49</v>
      </c>
      <c r="M98" s="108">
        <v>6789.9780000000001</v>
      </c>
      <c r="N98" s="108">
        <v>6425.4610000000002</v>
      </c>
      <c r="O98" s="108">
        <v>6314.8190000000004</v>
      </c>
      <c r="P98" s="108">
        <v>6318.8289999999997</v>
      </c>
      <c r="Q98" s="108">
        <v>6432.7579999999998</v>
      </c>
      <c r="R98" s="107">
        <v>6782.37</v>
      </c>
      <c r="S98" s="108">
        <v>7496.3059999999996</v>
      </c>
      <c r="T98" s="108">
        <v>7394.8270000000002</v>
      </c>
      <c r="U98" s="108">
        <v>7430.5680000000002</v>
      </c>
      <c r="V98" s="107">
        <v>6958.07</v>
      </c>
      <c r="W98" s="108">
        <v>7267.8159999999998</v>
      </c>
      <c r="X98" s="108">
        <v>7369.366</v>
      </c>
      <c r="Y98" s="108">
        <v>7222.9660000000003</v>
      </c>
      <c r="Z98" s="108">
        <v>8163.7449999999999</v>
      </c>
      <c r="AA98" s="108">
        <v>7745.8770000000004</v>
      </c>
      <c r="AB98" s="108">
        <v>7051.8239999999996</v>
      </c>
      <c r="AC98" s="108">
        <v>7222.4290000000001</v>
      </c>
      <c r="AD98" s="108">
        <v>7186.4049999999997</v>
      </c>
      <c r="AE98" s="108">
        <v>6758.7370000000001</v>
      </c>
      <c r="AF98" s="108">
        <v>6047.567</v>
      </c>
      <c r="AG98" s="108">
        <v>5502.4219999999996</v>
      </c>
      <c r="AH98" s="108">
        <v>5954.3850000000002</v>
      </c>
      <c r="AI98" s="108">
        <v>5383.2060000000001</v>
      </c>
      <c r="AJ98" s="108">
        <v>4287.0910000000003</v>
      </c>
      <c r="AK98" s="108">
        <v>3953.6460000000002</v>
      </c>
    </row>
    <row r="99" spans="1:37" x14ac:dyDescent="0.25">
      <c r="A99" s="104" t="s">
        <v>65</v>
      </c>
      <c r="B99" s="104" t="s">
        <v>47</v>
      </c>
      <c r="C99" s="106">
        <v>475</v>
      </c>
      <c r="D99" s="106">
        <v>480</v>
      </c>
      <c r="E99" s="106">
        <v>456</v>
      </c>
      <c r="F99" s="106">
        <v>427</v>
      </c>
      <c r="G99" s="106">
        <v>427</v>
      </c>
      <c r="H99" s="106">
        <v>382</v>
      </c>
      <c r="I99" s="106">
        <v>404</v>
      </c>
      <c r="J99" s="106">
        <v>424</v>
      </c>
      <c r="K99" s="106">
        <v>417</v>
      </c>
      <c r="L99" s="106">
        <v>404</v>
      </c>
      <c r="M99" s="106">
        <v>463</v>
      </c>
      <c r="N99" s="106">
        <v>459</v>
      </c>
      <c r="O99" s="106">
        <v>691</v>
      </c>
      <c r="P99" s="106">
        <v>717</v>
      </c>
      <c r="Q99" s="106">
        <v>1209</v>
      </c>
      <c r="R99" s="105">
        <v>1152.818</v>
      </c>
      <c r="S99" s="105">
        <v>1306.818</v>
      </c>
      <c r="T99" s="106">
        <v>1321.26</v>
      </c>
      <c r="U99" s="105">
        <v>1277.9349999999999</v>
      </c>
      <c r="V99" s="105">
        <v>955.27300000000002</v>
      </c>
      <c r="W99" s="105">
        <v>1160.4369999999999</v>
      </c>
      <c r="X99" s="106">
        <v>1156.27</v>
      </c>
      <c r="Y99" s="105">
        <v>1102.153</v>
      </c>
      <c r="Z99" s="105">
        <v>1092.537</v>
      </c>
      <c r="AA99" s="105">
        <v>1121.172</v>
      </c>
      <c r="AB99" s="105">
        <v>1055.8820000000001</v>
      </c>
      <c r="AC99" s="105">
        <v>1090.5219999999999</v>
      </c>
      <c r="AD99" s="105">
        <v>1084.271</v>
      </c>
      <c r="AE99" s="105">
        <v>1163.509</v>
      </c>
      <c r="AF99" s="105">
        <v>1089.287</v>
      </c>
      <c r="AG99" s="105">
        <v>901.00599999999997</v>
      </c>
      <c r="AH99" s="105">
        <v>952.67200000000003</v>
      </c>
      <c r="AI99" s="105">
        <v>927.92200000000003</v>
      </c>
      <c r="AJ99" s="105">
        <v>873.73900000000003</v>
      </c>
      <c r="AK99" s="106">
        <v>798.54</v>
      </c>
    </row>
    <row r="100" spans="1:37" x14ac:dyDescent="0.25">
      <c r="A100" s="104" t="s">
        <v>65</v>
      </c>
      <c r="B100" s="104" t="s">
        <v>48</v>
      </c>
      <c r="C100" s="107">
        <v>0</v>
      </c>
      <c r="D100" s="107">
        <v>0</v>
      </c>
      <c r="E100" s="107">
        <v>0</v>
      </c>
      <c r="F100" s="107">
        <v>0</v>
      </c>
      <c r="G100" s="107">
        <v>0</v>
      </c>
      <c r="H100" s="107">
        <v>0</v>
      </c>
      <c r="I100" s="107">
        <v>0</v>
      </c>
      <c r="J100" s="107">
        <v>0</v>
      </c>
      <c r="K100" s="107">
        <v>0</v>
      </c>
      <c r="L100" s="107">
        <v>0</v>
      </c>
      <c r="M100" s="107">
        <v>0</v>
      </c>
      <c r="N100" s="107">
        <v>0</v>
      </c>
      <c r="O100" s="107">
        <v>0</v>
      </c>
      <c r="P100" s="107">
        <v>0</v>
      </c>
      <c r="Q100" s="107">
        <v>0</v>
      </c>
      <c r="R100" s="107">
        <v>0</v>
      </c>
      <c r="S100" s="107">
        <v>0</v>
      </c>
      <c r="T100" s="107">
        <v>0</v>
      </c>
      <c r="U100" s="107">
        <v>0</v>
      </c>
      <c r="V100" s="107">
        <v>0</v>
      </c>
      <c r="W100" s="107">
        <v>0</v>
      </c>
      <c r="X100" s="107">
        <v>0</v>
      </c>
      <c r="Y100" s="107">
        <v>0</v>
      </c>
      <c r="Z100" s="107">
        <v>0</v>
      </c>
      <c r="AA100" s="107">
        <v>0</v>
      </c>
      <c r="AB100" s="107">
        <v>0</v>
      </c>
      <c r="AC100" s="107">
        <v>0</v>
      </c>
      <c r="AD100" s="107">
        <v>0</v>
      </c>
      <c r="AE100" s="107">
        <v>0</v>
      </c>
      <c r="AF100" s="107">
        <v>0</v>
      </c>
      <c r="AG100" s="107">
        <v>0</v>
      </c>
      <c r="AH100" s="107">
        <v>0</v>
      </c>
      <c r="AI100" s="107">
        <v>0</v>
      </c>
      <c r="AJ100" s="107">
        <v>0</v>
      </c>
      <c r="AK100" s="107">
        <v>0</v>
      </c>
    </row>
    <row r="101" spans="1:37" x14ac:dyDescent="0.25">
      <c r="A101" s="104" t="s">
        <v>65</v>
      </c>
      <c r="B101" s="104" t="s">
        <v>49</v>
      </c>
      <c r="C101" s="106">
        <v>51</v>
      </c>
      <c r="D101" s="106">
        <v>25</v>
      </c>
      <c r="E101" s="106">
        <v>23</v>
      </c>
      <c r="F101" s="106">
        <v>24</v>
      </c>
      <c r="G101" s="106">
        <v>33</v>
      </c>
      <c r="H101" s="106">
        <v>59</v>
      </c>
      <c r="I101" s="106">
        <v>67</v>
      </c>
      <c r="J101" s="106">
        <v>51</v>
      </c>
      <c r="K101" s="106">
        <v>63</v>
      </c>
      <c r="L101" s="106">
        <v>16</v>
      </c>
      <c r="M101" s="106">
        <v>105</v>
      </c>
      <c r="N101" s="106">
        <v>145</v>
      </c>
      <c r="O101" s="106">
        <v>387</v>
      </c>
      <c r="P101" s="106">
        <v>411</v>
      </c>
      <c r="Q101" s="106">
        <v>536</v>
      </c>
      <c r="R101" s="105">
        <v>424.21899999999999</v>
      </c>
      <c r="S101" s="105">
        <v>466.20499999999998</v>
      </c>
      <c r="T101" s="106">
        <v>454.25</v>
      </c>
      <c r="U101" s="105">
        <v>455.15600000000001</v>
      </c>
      <c r="V101" s="105">
        <v>448.11399999999998</v>
      </c>
      <c r="W101" s="105">
        <v>416.71899999999999</v>
      </c>
      <c r="X101" s="105">
        <v>391.27499999999998</v>
      </c>
      <c r="Y101" s="105">
        <v>464.423</v>
      </c>
      <c r="Z101" s="105">
        <v>513.34100000000001</v>
      </c>
      <c r="AA101" s="105">
        <v>573.88900000000001</v>
      </c>
      <c r="AB101" s="105">
        <v>595.995</v>
      </c>
      <c r="AC101" s="105">
        <v>600.86400000000003</v>
      </c>
      <c r="AD101" s="105">
        <v>519.51099999999997</v>
      </c>
      <c r="AE101" s="105">
        <v>520.55600000000004</v>
      </c>
      <c r="AF101" s="105">
        <v>516.02200000000005</v>
      </c>
      <c r="AG101" s="105">
        <v>458.892</v>
      </c>
      <c r="AH101" s="105">
        <v>458.053</v>
      </c>
      <c r="AI101" s="105">
        <v>433.18700000000001</v>
      </c>
      <c r="AJ101" s="105">
        <v>416.00200000000001</v>
      </c>
      <c r="AK101" s="105">
        <v>416.34399999999999</v>
      </c>
    </row>
    <row r="102" spans="1:37" x14ac:dyDescent="0.25">
      <c r="A102" s="104" t="s">
        <v>65</v>
      </c>
      <c r="B102" s="104" t="s">
        <v>50</v>
      </c>
      <c r="C102" s="107">
        <v>24</v>
      </c>
      <c r="D102" s="107">
        <v>26</v>
      </c>
      <c r="E102" s="107">
        <v>31</v>
      </c>
      <c r="F102" s="107">
        <v>28</v>
      </c>
      <c r="G102" s="107">
        <v>23</v>
      </c>
      <c r="H102" s="107">
        <v>28</v>
      </c>
      <c r="I102" s="107">
        <v>45</v>
      </c>
      <c r="J102" s="107">
        <v>43</v>
      </c>
      <c r="K102" s="107">
        <v>41</v>
      </c>
      <c r="L102" s="107">
        <v>64</v>
      </c>
      <c r="M102" s="107">
        <v>96</v>
      </c>
      <c r="N102" s="107">
        <v>107</v>
      </c>
      <c r="O102" s="107">
        <v>116</v>
      </c>
      <c r="P102" s="107">
        <v>135</v>
      </c>
      <c r="Q102" s="107">
        <v>527</v>
      </c>
      <c r="R102" s="108">
        <v>530.60400000000004</v>
      </c>
      <c r="S102" s="108">
        <v>614.505</v>
      </c>
      <c r="T102" s="108">
        <v>578.42899999999997</v>
      </c>
      <c r="U102" s="108">
        <v>541.10799999999995</v>
      </c>
      <c r="V102" s="107">
        <v>470.61</v>
      </c>
      <c r="W102" s="107">
        <v>589</v>
      </c>
      <c r="X102" s="107">
        <v>560</v>
      </c>
      <c r="Y102" s="107">
        <v>545</v>
      </c>
      <c r="Z102" s="107">
        <v>495</v>
      </c>
      <c r="AA102" s="108">
        <v>535.10299999999995</v>
      </c>
      <c r="AB102" s="108">
        <v>593.18499999999995</v>
      </c>
      <c r="AC102" s="108">
        <v>565.64599999999996</v>
      </c>
      <c r="AD102" s="108">
        <v>562.85299999999995</v>
      </c>
      <c r="AE102" s="108">
        <v>572.87699999999995</v>
      </c>
      <c r="AF102" s="108">
        <v>541.86900000000003</v>
      </c>
      <c r="AG102" s="108">
        <v>465.50900000000001</v>
      </c>
      <c r="AH102" s="108">
        <v>568.02800000000002</v>
      </c>
      <c r="AI102" s="108">
        <v>571.94200000000001</v>
      </c>
      <c r="AJ102" s="108">
        <v>528.03800000000001</v>
      </c>
      <c r="AK102" s="107">
        <v>554.13</v>
      </c>
    </row>
    <row r="103" spans="1:37" x14ac:dyDescent="0.25">
      <c r="A103" s="104" t="s">
        <v>65</v>
      </c>
      <c r="B103" s="104" t="s">
        <v>51</v>
      </c>
      <c r="C103" s="106">
        <v>-1</v>
      </c>
      <c r="D103" s="106">
        <v>0</v>
      </c>
      <c r="E103" s="106">
        <v>1</v>
      </c>
      <c r="F103" s="106">
        <v>0</v>
      </c>
      <c r="G103" s="106">
        <v>0</v>
      </c>
      <c r="H103" s="106">
        <v>-1</v>
      </c>
      <c r="I103" s="106">
        <v>0</v>
      </c>
      <c r="J103" s="106">
        <v>1</v>
      </c>
      <c r="K103" s="106">
        <v>-1</v>
      </c>
      <c r="L103" s="106">
        <v>2</v>
      </c>
      <c r="M103" s="106">
        <v>-1</v>
      </c>
      <c r="N103" s="106">
        <v>0</v>
      </c>
      <c r="O103" s="106">
        <v>0</v>
      </c>
      <c r="P103" s="106">
        <v>0</v>
      </c>
      <c r="Q103" s="106">
        <v>-11</v>
      </c>
      <c r="R103" s="106">
        <v>21.84</v>
      </c>
      <c r="S103" s="105">
        <v>-4.3760000000000003</v>
      </c>
      <c r="T103" s="105">
        <v>-14.798</v>
      </c>
      <c r="U103" s="105">
        <v>26.716000000000001</v>
      </c>
      <c r="V103" s="105">
        <v>-3.7570000000000001</v>
      </c>
      <c r="W103" s="105">
        <v>19.242999999999999</v>
      </c>
      <c r="X103" s="105">
        <v>-9.4559999999999995</v>
      </c>
      <c r="Y103" s="105">
        <v>-5.7409999999999997</v>
      </c>
      <c r="Z103" s="105">
        <v>0.97899999999999998</v>
      </c>
      <c r="AA103" s="105">
        <v>1.589</v>
      </c>
      <c r="AB103" s="105">
        <v>11.118</v>
      </c>
      <c r="AC103" s="106">
        <v>-3.21</v>
      </c>
      <c r="AD103" s="105">
        <v>4.0970000000000004</v>
      </c>
      <c r="AE103" s="105">
        <v>-12.718</v>
      </c>
      <c r="AF103" s="105">
        <v>3.5350000000000001</v>
      </c>
      <c r="AG103" s="105">
        <v>4.3949999999999996</v>
      </c>
      <c r="AH103" s="105">
        <v>-18.637</v>
      </c>
      <c r="AI103" s="105">
        <v>2.0369999999999999</v>
      </c>
      <c r="AJ103" s="105">
        <v>-2.7050000000000001</v>
      </c>
      <c r="AK103" s="105">
        <v>18.613</v>
      </c>
    </row>
    <row r="104" spans="1:37" x14ac:dyDescent="0.25">
      <c r="A104" s="104" t="s">
        <v>65</v>
      </c>
      <c r="B104" s="104" t="s">
        <v>52</v>
      </c>
      <c r="C104" s="107">
        <v>0</v>
      </c>
      <c r="D104" s="107">
        <v>0</v>
      </c>
      <c r="E104" s="107">
        <v>0</v>
      </c>
      <c r="F104" s="107">
        <v>0</v>
      </c>
      <c r="G104" s="107">
        <v>0</v>
      </c>
      <c r="H104" s="107">
        <v>0</v>
      </c>
      <c r="I104" s="107">
        <v>0</v>
      </c>
      <c r="J104" s="107">
        <v>0</v>
      </c>
      <c r="K104" s="107">
        <v>0</v>
      </c>
      <c r="L104" s="107">
        <v>0</v>
      </c>
      <c r="M104" s="107">
        <v>0</v>
      </c>
      <c r="N104" s="107">
        <v>0</v>
      </c>
      <c r="O104" s="107">
        <v>0</v>
      </c>
      <c r="P104" s="107">
        <v>0</v>
      </c>
      <c r="Q104" s="107">
        <v>0</v>
      </c>
      <c r="R104" s="107">
        <v>0</v>
      </c>
      <c r="S104" s="107">
        <v>0</v>
      </c>
      <c r="T104" s="107">
        <v>0</v>
      </c>
      <c r="U104" s="107">
        <v>0</v>
      </c>
      <c r="V104" s="107">
        <v>0</v>
      </c>
      <c r="W104" s="107">
        <v>0</v>
      </c>
      <c r="X104" s="107">
        <v>0</v>
      </c>
      <c r="Y104" s="107">
        <v>0</v>
      </c>
      <c r="Z104" s="107">
        <v>0</v>
      </c>
      <c r="AA104" s="107">
        <v>0</v>
      </c>
      <c r="AB104" s="107">
        <v>0</v>
      </c>
      <c r="AC104" s="107">
        <v>0</v>
      </c>
      <c r="AD104" s="107">
        <v>0</v>
      </c>
      <c r="AE104" s="107">
        <v>0</v>
      </c>
      <c r="AF104" s="107">
        <v>0</v>
      </c>
      <c r="AG104" s="107">
        <v>0</v>
      </c>
      <c r="AH104" s="107">
        <v>0</v>
      </c>
      <c r="AI104" s="107">
        <v>0</v>
      </c>
      <c r="AJ104" s="107">
        <v>0</v>
      </c>
      <c r="AK104" s="109" t="s">
        <v>255</v>
      </c>
    </row>
    <row r="105" spans="1:37" x14ac:dyDescent="0.25">
      <c r="A105" s="104" t="s">
        <v>65</v>
      </c>
      <c r="B105" s="104" t="s">
        <v>53</v>
      </c>
      <c r="C105" s="106">
        <v>501</v>
      </c>
      <c r="D105" s="106">
        <v>479</v>
      </c>
      <c r="E105" s="106">
        <v>449</v>
      </c>
      <c r="F105" s="106">
        <v>423</v>
      </c>
      <c r="G105" s="106">
        <v>437</v>
      </c>
      <c r="H105" s="106">
        <v>412</v>
      </c>
      <c r="I105" s="106">
        <v>426</v>
      </c>
      <c r="J105" s="106">
        <v>433</v>
      </c>
      <c r="K105" s="106">
        <v>438</v>
      </c>
      <c r="L105" s="106">
        <v>358</v>
      </c>
      <c r="M105" s="106">
        <v>471</v>
      </c>
      <c r="N105" s="106">
        <v>497</v>
      </c>
      <c r="O105" s="106">
        <v>962</v>
      </c>
      <c r="P105" s="106">
        <v>993</v>
      </c>
      <c r="Q105" s="106">
        <v>1207</v>
      </c>
      <c r="R105" s="105">
        <v>1068.2729999999999</v>
      </c>
      <c r="S105" s="105">
        <v>1154.1420000000001</v>
      </c>
      <c r="T105" s="105">
        <v>1182.2829999999999</v>
      </c>
      <c r="U105" s="105">
        <v>1218.6990000000001</v>
      </c>
      <c r="V105" s="106">
        <v>929.02</v>
      </c>
      <c r="W105" s="105">
        <v>1007.399</v>
      </c>
      <c r="X105" s="105">
        <v>978.08900000000006</v>
      </c>
      <c r="Y105" s="105">
        <v>1015.835</v>
      </c>
      <c r="Z105" s="105">
        <v>1111.857</v>
      </c>
      <c r="AA105" s="105">
        <v>1161.547</v>
      </c>
      <c r="AB105" s="106">
        <v>1069.81</v>
      </c>
      <c r="AC105" s="106">
        <v>1122.53</v>
      </c>
      <c r="AD105" s="105">
        <v>1045.0260000000001</v>
      </c>
      <c r="AE105" s="106">
        <v>1098.47</v>
      </c>
      <c r="AF105" s="105">
        <v>1066.9749999999999</v>
      </c>
      <c r="AG105" s="105">
        <v>898.78399999999999</v>
      </c>
      <c r="AH105" s="106">
        <v>824.06</v>
      </c>
      <c r="AI105" s="105">
        <v>791.20399999999995</v>
      </c>
      <c r="AJ105" s="105">
        <v>758.99800000000005</v>
      </c>
      <c r="AK105" s="105">
        <v>679.36699999999996</v>
      </c>
    </row>
    <row r="106" spans="1:37" x14ac:dyDescent="0.25">
      <c r="A106" s="104" t="s">
        <v>66</v>
      </c>
      <c r="B106" s="104" t="s">
        <v>47</v>
      </c>
      <c r="C106" s="107">
        <v>15891</v>
      </c>
      <c r="D106" s="107">
        <v>11639</v>
      </c>
      <c r="E106" s="107">
        <v>13479</v>
      </c>
      <c r="F106" s="107">
        <v>11183</v>
      </c>
      <c r="G106" s="107">
        <v>15858</v>
      </c>
      <c r="H106" s="107">
        <v>17877</v>
      </c>
      <c r="I106" s="107">
        <v>16492</v>
      </c>
      <c r="J106" s="107">
        <v>15562</v>
      </c>
      <c r="K106" s="107">
        <v>6404</v>
      </c>
      <c r="L106" s="107">
        <v>15414</v>
      </c>
      <c r="M106" s="107">
        <v>10388</v>
      </c>
      <c r="N106" s="107">
        <v>12271</v>
      </c>
      <c r="O106" s="107">
        <v>13455</v>
      </c>
      <c r="P106" s="107">
        <v>13967</v>
      </c>
      <c r="Q106" s="107">
        <v>9511</v>
      </c>
      <c r="R106" s="107">
        <v>14395.89</v>
      </c>
      <c r="S106" s="108">
        <v>17774.927</v>
      </c>
      <c r="T106" s="108">
        <v>8281.3819999999996</v>
      </c>
      <c r="U106" s="108">
        <v>8751.6569999999992</v>
      </c>
      <c r="V106" s="107">
        <v>13174.55</v>
      </c>
      <c r="W106" s="108">
        <v>13685.264999999999</v>
      </c>
      <c r="X106" s="108">
        <v>11866.141</v>
      </c>
      <c r="Y106" s="108">
        <v>6492.7820000000002</v>
      </c>
      <c r="Z106" s="107">
        <v>15028.21</v>
      </c>
      <c r="AA106" s="108">
        <v>12144.602999999999</v>
      </c>
      <c r="AB106" s="108">
        <v>7600.8410000000003</v>
      </c>
      <c r="AC106" s="108">
        <v>6771.8280000000004</v>
      </c>
      <c r="AD106" s="108">
        <v>7120.3059999999996</v>
      </c>
      <c r="AE106" s="108">
        <v>12185.450999999999</v>
      </c>
      <c r="AF106" s="108">
        <v>6378.8429999999998</v>
      </c>
      <c r="AG106" s="108">
        <v>2989.5219999999999</v>
      </c>
      <c r="AH106" s="108">
        <v>1652.694</v>
      </c>
      <c r="AI106" s="108">
        <v>1901.0050000000001</v>
      </c>
      <c r="AJ106" s="108">
        <v>1910.664</v>
      </c>
      <c r="AK106" s="108">
        <v>1559.191</v>
      </c>
    </row>
    <row r="107" spans="1:37" x14ac:dyDescent="0.25">
      <c r="A107" s="104" t="s">
        <v>66</v>
      </c>
      <c r="B107" s="104" t="s">
        <v>48</v>
      </c>
      <c r="C107" s="106">
        <v>0</v>
      </c>
      <c r="D107" s="106">
        <v>0</v>
      </c>
      <c r="E107" s="106">
        <v>0</v>
      </c>
      <c r="F107" s="106">
        <v>0</v>
      </c>
      <c r="G107" s="106">
        <v>0</v>
      </c>
      <c r="H107" s="106">
        <v>0</v>
      </c>
      <c r="I107" s="106">
        <v>0</v>
      </c>
      <c r="J107" s="106">
        <v>0</v>
      </c>
      <c r="K107" s="106">
        <v>0</v>
      </c>
      <c r="L107" s="106">
        <v>0</v>
      </c>
      <c r="M107" s="106">
        <v>0</v>
      </c>
      <c r="N107" s="106">
        <v>0</v>
      </c>
      <c r="O107" s="106">
        <v>0</v>
      </c>
      <c r="P107" s="106">
        <v>0</v>
      </c>
      <c r="Q107" s="106">
        <v>0</v>
      </c>
      <c r="R107" s="106">
        <v>0</v>
      </c>
      <c r="S107" s="106">
        <v>0</v>
      </c>
      <c r="T107" s="106">
        <v>0</v>
      </c>
      <c r="U107" s="106">
        <v>0</v>
      </c>
      <c r="V107" s="106">
        <v>0</v>
      </c>
      <c r="W107" s="106">
        <v>0</v>
      </c>
      <c r="X107" s="106">
        <v>0</v>
      </c>
      <c r="Y107" s="106">
        <v>0</v>
      </c>
      <c r="Z107" s="106">
        <v>0</v>
      </c>
      <c r="AA107" s="106">
        <v>0</v>
      </c>
      <c r="AB107" s="106">
        <v>0</v>
      </c>
      <c r="AC107" s="106">
        <v>0</v>
      </c>
      <c r="AD107" s="106">
        <v>0</v>
      </c>
      <c r="AE107" s="106">
        <v>0</v>
      </c>
      <c r="AF107" s="106">
        <v>0</v>
      </c>
      <c r="AG107" s="106">
        <v>0</v>
      </c>
      <c r="AH107" s="106">
        <v>0</v>
      </c>
      <c r="AI107" s="106">
        <v>0</v>
      </c>
      <c r="AJ107" s="106">
        <v>0</v>
      </c>
      <c r="AK107" s="106">
        <v>0</v>
      </c>
    </row>
    <row r="108" spans="1:37" x14ac:dyDescent="0.25">
      <c r="A108" s="104" t="s">
        <v>66</v>
      </c>
      <c r="B108" s="104" t="s">
        <v>49</v>
      </c>
      <c r="C108" s="107">
        <v>249</v>
      </c>
      <c r="D108" s="107">
        <v>308</v>
      </c>
      <c r="E108" s="107">
        <v>311</v>
      </c>
      <c r="F108" s="107">
        <v>418</v>
      </c>
      <c r="G108" s="107">
        <v>304</v>
      </c>
      <c r="H108" s="107">
        <v>326</v>
      </c>
      <c r="I108" s="107">
        <v>308</v>
      </c>
      <c r="J108" s="107">
        <v>276</v>
      </c>
      <c r="K108" s="107">
        <v>344</v>
      </c>
      <c r="L108" s="107">
        <v>252</v>
      </c>
      <c r="M108" s="107">
        <v>234</v>
      </c>
      <c r="N108" s="107">
        <v>276</v>
      </c>
      <c r="O108" s="107">
        <v>347</v>
      </c>
      <c r="P108" s="107">
        <v>346</v>
      </c>
      <c r="Q108" s="107">
        <v>431</v>
      </c>
      <c r="R108" s="107">
        <v>335</v>
      </c>
      <c r="S108" s="107">
        <v>292</v>
      </c>
      <c r="T108" s="107">
        <v>458</v>
      </c>
      <c r="U108" s="107">
        <v>599</v>
      </c>
      <c r="V108" s="107">
        <v>586</v>
      </c>
      <c r="W108" s="107">
        <v>409</v>
      </c>
      <c r="X108" s="107">
        <v>505</v>
      </c>
      <c r="Y108" s="107">
        <v>455</v>
      </c>
      <c r="Z108" s="107">
        <v>226</v>
      </c>
      <c r="AA108" s="107">
        <v>193</v>
      </c>
      <c r="AB108" s="107">
        <v>179</v>
      </c>
      <c r="AC108" s="107">
        <v>141</v>
      </c>
      <c r="AD108" s="108">
        <v>150.005</v>
      </c>
      <c r="AE108" s="108">
        <v>206.13499999999999</v>
      </c>
      <c r="AF108" s="108">
        <v>184.07400000000001</v>
      </c>
      <c r="AG108" s="108">
        <v>122.431</v>
      </c>
      <c r="AH108" s="108">
        <v>120.51300000000001</v>
      </c>
      <c r="AI108" s="107">
        <v>122.73</v>
      </c>
      <c r="AJ108" s="108">
        <v>79.724999999999994</v>
      </c>
      <c r="AK108" s="107">
        <v>109</v>
      </c>
    </row>
    <row r="109" spans="1:37" x14ac:dyDescent="0.25">
      <c r="A109" s="104" t="s">
        <v>66</v>
      </c>
      <c r="B109" s="104" t="s">
        <v>50</v>
      </c>
      <c r="C109" s="106">
        <v>425</v>
      </c>
      <c r="D109" s="106">
        <v>323</v>
      </c>
      <c r="E109" s="106">
        <v>338</v>
      </c>
      <c r="F109" s="106">
        <v>424</v>
      </c>
      <c r="G109" s="106">
        <v>360</v>
      </c>
      <c r="H109" s="106">
        <v>238</v>
      </c>
      <c r="I109" s="106">
        <v>202</v>
      </c>
      <c r="J109" s="106">
        <v>203</v>
      </c>
      <c r="K109" s="106">
        <v>216</v>
      </c>
      <c r="L109" s="106">
        <v>229</v>
      </c>
      <c r="M109" s="106">
        <v>263</v>
      </c>
      <c r="N109" s="106">
        <v>294</v>
      </c>
      <c r="O109" s="106">
        <v>249</v>
      </c>
      <c r="P109" s="106">
        <v>223</v>
      </c>
      <c r="Q109" s="106">
        <v>184</v>
      </c>
      <c r="R109" s="106">
        <v>194</v>
      </c>
      <c r="S109" s="106">
        <v>148</v>
      </c>
      <c r="T109" s="106">
        <v>125</v>
      </c>
      <c r="U109" s="106">
        <v>54</v>
      </c>
      <c r="V109" s="106">
        <v>75</v>
      </c>
      <c r="W109" s="106">
        <v>114</v>
      </c>
      <c r="X109" s="106">
        <v>47</v>
      </c>
      <c r="Y109" s="106">
        <v>52</v>
      </c>
      <c r="Z109" s="106">
        <v>34</v>
      </c>
      <c r="AA109" s="106">
        <v>14</v>
      </c>
      <c r="AB109" s="106">
        <v>46</v>
      </c>
      <c r="AC109" s="106">
        <v>20</v>
      </c>
      <c r="AD109" s="105">
        <v>34.012</v>
      </c>
      <c r="AE109" s="105">
        <v>4.0359999999999996</v>
      </c>
      <c r="AF109" s="105">
        <v>2.7480000000000002</v>
      </c>
      <c r="AG109" s="105">
        <v>2.004</v>
      </c>
      <c r="AH109" s="105">
        <v>2.4849999999999999</v>
      </c>
      <c r="AI109" s="106">
        <v>44.66</v>
      </c>
      <c r="AJ109" s="105">
        <v>28.649000000000001</v>
      </c>
      <c r="AK109" s="106">
        <v>6.3</v>
      </c>
    </row>
    <row r="110" spans="1:37" x14ac:dyDescent="0.25">
      <c r="A110" s="104" t="s">
        <v>66</v>
      </c>
      <c r="B110" s="104" t="s">
        <v>51</v>
      </c>
      <c r="C110" s="108">
        <v>-2724.2289999999998</v>
      </c>
      <c r="D110" s="107">
        <v>2324</v>
      </c>
      <c r="E110" s="107">
        <v>9</v>
      </c>
      <c r="F110" s="107">
        <v>2014</v>
      </c>
      <c r="G110" s="107">
        <v>-1742</v>
      </c>
      <c r="H110" s="107">
        <v>-3613</v>
      </c>
      <c r="I110" s="107">
        <v>-1342</v>
      </c>
      <c r="J110" s="107">
        <v>-752</v>
      </c>
      <c r="K110" s="107">
        <v>7225</v>
      </c>
      <c r="L110" s="107">
        <v>-2928</v>
      </c>
      <c r="M110" s="107">
        <v>989</v>
      </c>
      <c r="N110" s="107">
        <v>1725</v>
      </c>
      <c r="O110" s="107">
        <v>1409</v>
      </c>
      <c r="P110" s="107">
        <v>1396</v>
      </c>
      <c r="Q110" s="107">
        <v>3635</v>
      </c>
      <c r="R110" s="108">
        <v>-2382.8380000000002</v>
      </c>
      <c r="S110" s="108">
        <v>-4059.826</v>
      </c>
      <c r="T110" s="107">
        <v>6199.3</v>
      </c>
      <c r="U110" s="108">
        <v>5114.1049999999996</v>
      </c>
      <c r="V110" s="108">
        <v>-345.726</v>
      </c>
      <c r="W110" s="108">
        <v>897.03399999999999</v>
      </c>
      <c r="X110" s="108">
        <v>1186.0170000000001</v>
      </c>
      <c r="Y110" s="107">
        <v>5038.0200000000004</v>
      </c>
      <c r="Z110" s="108">
        <v>-4512.2309999999998</v>
      </c>
      <c r="AA110" s="108">
        <v>-1829.491</v>
      </c>
      <c r="AB110" s="108">
        <v>2167.4430000000002</v>
      </c>
      <c r="AC110" s="108">
        <v>2992.1950000000002</v>
      </c>
      <c r="AD110" s="108">
        <v>2316.201</v>
      </c>
      <c r="AE110" s="108">
        <v>-2212.4340000000002</v>
      </c>
      <c r="AF110" s="108">
        <v>2365.7350000000001</v>
      </c>
      <c r="AG110" s="107">
        <v>3314.63</v>
      </c>
      <c r="AH110" s="108">
        <v>3364.3519999999999</v>
      </c>
      <c r="AI110" s="108">
        <v>2854.1190000000001</v>
      </c>
      <c r="AJ110" s="108">
        <v>1568.558</v>
      </c>
      <c r="AK110" s="108">
        <v>928.66700000000003</v>
      </c>
    </row>
    <row r="111" spans="1:37" x14ac:dyDescent="0.25">
      <c r="A111" s="104" t="s">
        <v>66</v>
      </c>
      <c r="B111" s="104" t="s">
        <v>52</v>
      </c>
      <c r="C111" s="106">
        <v>0</v>
      </c>
      <c r="D111" s="106">
        <v>0</v>
      </c>
      <c r="E111" s="106">
        <v>0</v>
      </c>
      <c r="F111" s="106">
        <v>0</v>
      </c>
      <c r="G111" s="106">
        <v>0</v>
      </c>
      <c r="H111" s="106">
        <v>0</v>
      </c>
      <c r="I111" s="106">
        <v>0</v>
      </c>
      <c r="J111" s="106">
        <v>0</v>
      </c>
      <c r="K111" s="106">
        <v>0</v>
      </c>
      <c r="L111" s="106">
        <v>0</v>
      </c>
      <c r="M111" s="106">
        <v>0</v>
      </c>
      <c r="N111" s="106">
        <v>0</v>
      </c>
      <c r="O111" s="106">
        <v>0</v>
      </c>
      <c r="P111" s="106">
        <v>0</v>
      </c>
      <c r="Q111" s="106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0</v>
      </c>
      <c r="Y111" s="106">
        <v>0</v>
      </c>
      <c r="Z111" s="106">
        <v>0</v>
      </c>
      <c r="AA111" s="106">
        <v>0</v>
      </c>
      <c r="AB111" s="106">
        <v>0</v>
      </c>
      <c r="AC111" s="106">
        <v>0</v>
      </c>
      <c r="AD111" s="106">
        <v>0</v>
      </c>
      <c r="AE111" s="106">
        <v>0</v>
      </c>
      <c r="AF111" s="106">
        <v>0</v>
      </c>
      <c r="AG111" s="106">
        <v>0</v>
      </c>
      <c r="AH111" s="106">
        <v>0</v>
      </c>
      <c r="AI111" s="106">
        <v>0</v>
      </c>
      <c r="AJ111" s="106">
        <v>0</v>
      </c>
      <c r="AK111" s="110" t="s">
        <v>255</v>
      </c>
    </row>
    <row r="112" spans="1:37" x14ac:dyDescent="0.25">
      <c r="A112" s="104" t="s">
        <v>66</v>
      </c>
      <c r="B112" s="104" t="s">
        <v>53</v>
      </c>
      <c r="C112" s="108">
        <v>12990.771000000001</v>
      </c>
      <c r="D112" s="107">
        <v>13948</v>
      </c>
      <c r="E112" s="107">
        <v>13461</v>
      </c>
      <c r="F112" s="107">
        <v>13191</v>
      </c>
      <c r="G112" s="107">
        <v>14060</v>
      </c>
      <c r="H112" s="107">
        <v>14352</v>
      </c>
      <c r="I112" s="107">
        <v>15256</v>
      </c>
      <c r="J112" s="107">
        <v>14883</v>
      </c>
      <c r="K112" s="107">
        <v>13757</v>
      </c>
      <c r="L112" s="107">
        <v>12509</v>
      </c>
      <c r="M112" s="107">
        <v>11348</v>
      </c>
      <c r="N112" s="107">
        <v>13978</v>
      </c>
      <c r="O112" s="107">
        <v>14962</v>
      </c>
      <c r="P112" s="107">
        <v>15486</v>
      </c>
      <c r="Q112" s="107">
        <v>13393</v>
      </c>
      <c r="R112" s="108">
        <v>12154.052</v>
      </c>
      <c r="S112" s="108">
        <v>13859.101000000001</v>
      </c>
      <c r="T112" s="108">
        <v>14813.682000000001</v>
      </c>
      <c r="U112" s="108">
        <v>14410.762000000001</v>
      </c>
      <c r="V112" s="108">
        <v>13339.824000000001</v>
      </c>
      <c r="W112" s="108">
        <v>14877.299000000001</v>
      </c>
      <c r="X112" s="108">
        <v>13510.157999999999</v>
      </c>
      <c r="Y112" s="108">
        <v>11933.802</v>
      </c>
      <c r="Z112" s="108">
        <v>10707.978999999999</v>
      </c>
      <c r="AA112" s="108">
        <v>10494.111999999999</v>
      </c>
      <c r="AB112" s="108">
        <v>9901.2839999999997</v>
      </c>
      <c r="AC112" s="108">
        <v>9885.0229999999992</v>
      </c>
      <c r="AD112" s="107">
        <v>9552.5</v>
      </c>
      <c r="AE112" s="108">
        <v>10175.116</v>
      </c>
      <c r="AF112" s="108">
        <v>8925.9040000000005</v>
      </c>
      <c r="AG112" s="108">
        <v>6424.5789999999997</v>
      </c>
      <c r="AH112" s="108">
        <v>5135.0739999999996</v>
      </c>
      <c r="AI112" s="108">
        <v>4833.1940000000004</v>
      </c>
      <c r="AJ112" s="108">
        <v>3530.2979999999998</v>
      </c>
      <c r="AK112" s="108">
        <v>2590.558</v>
      </c>
    </row>
    <row r="113" spans="1:37" x14ac:dyDescent="0.25">
      <c r="A113" s="104" t="s">
        <v>67</v>
      </c>
      <c r="B113" s="104" t="s">
        <v>47</v>
      </c>
      <c r="C113" s="106">
        <v>670</v>
      </c>
      <c r="D113" s="106">
        <v>610</v>
      </c>
      <c r="E113" s="106">
        <v>643</v>
      </c>
      <c r="F113" s="106">
        <v>535</v>
      </c>
      <c r="G113" s="106">
        <v>531</v>
      </c>
      <c r="H113" s="106">
        <v>527</v>
      </c>
      <c r="I113" s="106">
        <v>492</v>
      </c>
      <c r="J113" s="106">
        <v>425</v>
      </c>
      <c r="K113" s="106">
        <v>390</v>
      </c>
      <c r="L113" s="106">
        <v>457</v>
      </c>
      <c r="M113" s="106">
        <v>372</v>
      </c>
      <c r="N113" s="106">
        <v>392</v>
      </c>
      <c r="O113" s="106">
        <v>412</v>
      </c>
      <c r="P113" s="106">
        <v>414</v>
      </c>
      <c r="Q113" s="106">
        <v>289</v>
      </c>
      <c r="R113" s="105">
        <v>278.33600000000001</v>
      </c>
      <c r="S113" s="105">
        <v>337.01100000000002</v>
      </c>
      <c r="T113" s="105">
        <v>354.55500000000001</v>
      </c>
      <c r="U113" s="105">
        <v>324.56700000000001</v>
      </c>
      <c r="V113" s="105">
        <v>340.39299999999997</v>
      </c>
      <c r="W113" s="106">
        <v>352.94</v>
      </c>
      <c r="X113" s="106">
        <v>319.94</v>
      </c>
      <c r="Y113" s="105">
        <v>281.53800000000001</v>
      </c>
      <c r="Z113" s="105">
        <v>320.51499999999999</v>
      </c>
      <c r="AA113" s="105">
        <v>284.16800000000001</v>
      </c>
      <c r="AB113" s="105">
        <v>161.565</v>
      </c>
      <c r="AC113" s="105">
        <v>197.17599999999999</v>
      </c>
      <c r="AD113" s="105">
        <v>175.31100000000001</v>
      </c>
      <c r="AE113" s="106">
        <v>150.71</v>
      </c>
      <c r="AF113" s="105">
        <v>127.536</v>
      </c>
      <c r="AG113" s="105">
        <v>145.34899999999999</v>
      </c>
      <c r="AH113" s="105">
        <v>129.24700000000001</v>
      </c>
      <c r="AI113" s="105">
        <v>86.864000000000004</v>
      </c>
      <c r="AJ113" s="105">
        <v>36.884999999999998</v>
      </c>
      <c r="AK113" s="105">
        <v>9.8460000000000001</v>
      </c>
    </row>
    <row r="114" spans="1:37" x14ac:dyDescent="0.25">
      <c r="A114" s="104" t="s">
        <v>67</v>
      </c>
      <c r="B114" s="104" t="s">
        <v>48</v>
      </c>
      <c r="C114" s="107">
        <v>0</v>
      </c>
      <c r="D114" s="107">
        <v>0</v>
      </c>
      <c r="E114" s="107">
        <v>0</v>
      </c>
      <c r="F114" s="107">
        <v>0</v>
      </c>
      <c r="G114" s="107">
        <v>0</v>
      </c>
      <c r="H114" s="107">
        <v>0</v>
      </c>
      <c r="I114" s="107">
        <v>0</v>
      </c>
      <c r="J114" s="107">
        <v>0</v>
      </c>
      <c r="K114" s="107">
        <v>0</v>
      </c>
      <c r="L114" s="107">
        <v>0</v>
      </c>
      <c r="M114" s="107">
        <v>0</v>
      </c>
      <c r="N114" s="107">
        <v>0</v>
      </c>
      <c r="O114" s="107">
        <v>0</v>
      </c>
      <c r="P114" s="107">
        <v>0</v>
      </c>
      <c r="Q114" s="107">
        <v>0</v>
      </c>
      <c r="R114" s="107">
        <v>0</v>
      </c>
      <c r="S114" s="107">
        <v>0</v>
      </c>
      <c r="T114" s="107">
        <v>0</v>
      </c>
      <c r="U114" s="107">
        <v>0</v>
      </c>
      <c r="V114" s="107">
        <v>0</v>
      </c>
      <c r="W114" s="107">
        <v>0</v>
      </c>
      <c r="X114" s="107">
        <v>0</v>
      </c>
      <c r="Y114" s="107">
        <v>0</v>
      </c>
      <c r="Z114" s="107">
        <v>0</v>
      </c>
      <c r="AA114" s="107">
        <v>0</v>
      </c>
      <c r="AB114" s="107">
        <v>0</v>
      </c>
      <c r="AC114" s="107">
        <v>0</v>
      </c>
      <c r="AD114" s="107">
        <v>0</v>
      </c>
      <c r="AE114" s="107">
        <v>0</v>
      </c>
      <c r="AF114" s="107">
        <v>0</v>
      </c>
      <c r="AG114" s="107">
        <v>0</v>
      </c>
      <c r="AH114" s="107">
        <v>0</v>
      </c>
      <c r="AI114" s="107">
        <v>0</v>
      </c>
      <c r="AJ114" s="107">
        <v>0</v>
      </c>
      <c r="AK114" s="107">
        <v>0</v>
      </c>
    </row>
    <row r="115" spans="1:37" x14ac:dyDescent="0.25">
      <c r="A115" s="104" t="s">
        <v>67</v>
      </c>
      <c r="B115" s="104" t="s">
        <v>49</v>
      </c>
      <c r="C115" s="106">
        <v>0</v>
      </c>
      <c r="D115" s="106">
        <v>0</v>
      </c>
      <c r="E115" s="106">
        <v>1</v>
      </c>
      <c r="F115" s="106">
        <v>1</v>
      </c>
      <c r="G115" s="106">
        <v>5</v>
      </c>
      <c r="H115" s="106">
        <v>9</v>
      </c>
      <c r="I115" s="106">
        <v>3</v>
      </c>
      <c r="J115" s="106">
        <v>1</v>
      </c>
      <c r="K115" s="106">
        <v>0</v>
      </c>
      <c r="L115" s="106">
        <v>4</v>
      </c>
      <c r="M115" s="106">
        <v>0</v>
      </c>
      <c r="N115" s="106">
        <v>0</v>
      </c>
      <c r="O115" s="106">
        <v>0</v>
      </c>
      <c r="P115" s="106">
        <v>3</v>
      </c>
      <c r="Q115" s="106">
        <v>4</v>
      </c>
      <c r="R115" s="106">
        <v>11</v>
      </c>
      <c r="S115" s="106">
        <v>15</v>
      </c>
      <c r="T115" s="106">
        <v>24</v>
      </c>
      <c r="U115" s="106">
        <v>35</v>
      </c>
      <c r="V115" s="106">
        <v>40</v>
      </c>
      <c r="W115" s="106">
        <v>52</v>
      </c>
      <c r="X115" s="106">
        <v>68</v>
      </c>
      <c r="Y115" s="106">
        <v>76</v>
      </c>
      <c r="Z115" s="106">
        <v>86</v>
      </c>
      <c r="AA115" s="106">
        <v>57</v>
      </c>
      <c r="AB115" s="106">
        <v>45</v>
      </c>
      <c r="AC115" s="106">
        <v>60</v>
      </c>
      <c r="AD115" s="106">
        <v>59.1</v>
      </c>
      <c r="AE115" s="106">
        <v>73.37</v>
      </c>
      <c r="AF115" s="106">
        <v>57.8</v>
      </c>
      <c r="AG115" s="106">
        <v>38.6</v>
      </c>
      <c r="AH115" s="106">
        <v>51.1</v>
      </c>
      <c r="AI115" s="106">
        <v>58.7</v>
      </c>
      <c r="AJ115" s="106">
        <v>36</v>
      </c>
      <c r="AK115" s="106">
        <v>19.8</v>
      </c>
    </row>
    <row r="116" spans="1:37" x14ac:dyDescent="0.25">
      <c r="A116" s="104" t="s">
        <v>67</v>
      </c>
      <c r="B116" s="104" t="s">
        <v>50</v>
      </c>
      <c r="C116" s="108">
        <v>9.0289999999999999</v>
      </c>
      <c r="D116" s="107">
        <v>10</v>
      </c>
      <c r="E116" s="107">
        <v>10</v>
      </c>
      <c r="F116" s="107">
        <v>26</v>
      </c>
      <c r="G116" s="107">
        <v>43</v>
      </c>
      <c r="H116" s="107">
        <v>51</v>
      </c>
      <c r="I116" s="107">
        <v>54</v>
      </c>
      <c r="J116" s="107">
        <v>62.9</v>
      </c>
      <c r="K116" s="107">
        <v>98.2</v>
      </c>
      <c r="L116" s="107">
        <v>85</v>
      </c>
      <c r="M116" s="107">
        <v>72</v>
      </c>
      <c r="N116" s="107">
        <v>98</v>
      </c>
      <c r="O116" s="107">
        <v>134</v>
      </c>
      <c r="P116" s="107">
        <v>128</v>
      </c>
      <c r="Q116" s="107">
        <v>101</v>
      </c>
      <c r="R116" s="107">
        <v>59.8</v>
      </c>
      <c r="S116" s="108">
        <v>105.755</v>
      </c>
      <c r="T116" s="108">
        <v>113.827</v>
      </c>
      <c r="U116" s="108">
        <v>112.952</v>
      </c>
      <c r="V116" s="108">
        <v>42.508000000000003</v>
      </c>
      <c r="W116" s="107">
        <v>88.82</v>
      </c>
      <c r="X116" s="108">
        <v>101.095</v>
      </c>
      <c r="Y116" s="108">
        <v>74.022000000000006</v>
      </c>
      <c r="Z116" s="108">
        <v>80.275000000000006</v>
      </c>
      <c r="AA116" s="108">
        <v>66.504000000000005</v>
      </c>
      <c r="AB116" s="108">
        <v>17.765000000000001</v>
      </c>
      <c r="AC116" s="108">
        <v>15.537000000000001</v>
      </c>
      <c r="AD116" s="108">
        <v>16.390999999999998</v>
      </c>
      <c r="AE116" s="108">
        <v>17.271999999999998</v>
      </c>
      <c r="AF116" s="108">
        <v>14.526</v>
      </c>
      <c r="AG116" s="108">
        <v>13.739000000000001</v>
      </c>
      <c r="AH116" s="108">
        <v>6.915</v>
      </c>
      <c r="AI116" s="108">
        <v>10.679</v>
      </c>
      <c r="AJ116" s="108">
        <v>5.5650000000000004</v>
      </c>
      <c r="AK116" s="108">
        <v>3.9710000000000001</v>
      </c>
    </row>
    <row r="117" spans="1:37" x14ac:dyDescent="0.25">
      <c r="A117" s="104" t="s">
        <v>67</v>
      </c>
      <c r="B117" s="104" t="s">
        <v>51</v>
      </c>
      <c r="C117" s="106">
        <v>0</v>
      </c>
      <c r="D117" s="106">
        <v>46</v>
      </c>
      <c r="E117" s="106">
        <v>-45</v>
      </c>
      <c r="F117" s="106">
        <v>40</v>
      </c>
      <c r="G117" s="106">
        <v>-21</v>
      </c>
      <c r="H117" s="106">
        <v>-39</v>
      </c>
      <c r="I117" s="106">
        <v>12</v>
      </c>
      <c r="J117" s="106">
        <v>1</v>
      </c>
      <c r="K117" s="106">
        <v>47</v>
      </c>
      <c r="L117" s="106">
        <v>-47</v>
      </c>
      <c r="M117" s="106">
        <v>23</v>
      </c>
      <c r="N117" s="106">
        <v>-12</v>
      </c>
      <c r="O117" s="106">
        <v>12</v>
      </c>
      <c r="P117" s="106">
        <v>-38</v>
      </c>
      <c r="Q117" s="106">
        <v>44</v>
      </c>
      <c r="R117" s="105">
        <v>8.3239999999999998</v>
      </c>
      <c r="S117" s="105">
        <v>-27.536000000000001</v>
      </c>
      <c r="T117" s="105">
        <v>-22.218</v>
      </c>
      <c r="U117" s="105">
        <v>71.105000000000004</v>
      </c>
      <c r="V117" s="105">
        <v>-18.978999999999999</v>
      </c>
      <c r="W117" s="105">
        <v>-29.507999999999999</v>
      </c>
      <c r="X117" s="105">
        <v>-12.196</v>
      </c>
      <c r="Y117" s="105">
        <v>23.393999999999998</v>
      </c>
      <c r="Z117" s="105">
        <v>-27.577000000000002</v>
      </c>
      <c r="AA117" s="106">
        <v>-5.32</v>
      </c>
      <c r="AB117" s="105">
        <v>41.787999999999997</v>
      </c>
      <c r="AC117" s="105">
        <v>-18.207999999999998</v>
      </c>
      <c r="AD117" s="105">
        <v>-13.397</v>
      </c>
      <c r="AE117" s="105">
        <v>29.984000000000002</v>
      </c>
      <c r="AF117" s="105">
        <v>18.324999999999999</v>
      </c>
      <c r="AG117" s="105">
        <v>18.268999999999998</v>
      </c>
      <c r="AH117" s="105">
        <v>-2.0419999999999998</v>
      </c>
      <c r="AI117" s="105">
        <v>3.3410000000000002</v>
      </c>
      <c r="AJ117" s="106">
        <v>1.29</v>
      </c>
      <c r="AK117" s="105">
        <v>1.2509999999999999</v>
      </c>
    </row>
    <row r="118" spans="1:37" x14ac:dyDescent="0.25">
      <c r="A118" s="104" t="s">
        <v>67</v>
      </c>
      <c r="B118" s="104" t="s">
        <v>52</v>
      </c>
      <c r="C118" s="107">
        <v>0</v>
      </c>
      <c r="D118" s="107">
        <v>0</v>
      </c>
      <c r="E118" s="107">
        <v>0</v>
      </c>
      <c r="F118" s="107">
        <v>0</v>
      </c>
      <c r="G118" s="107">
        <v>0</v>
      </c>
      <c r="H118" s="107">
        <v>0</v>
      </c>
      <c r="I118" s="107">
        <v>0</v>
      </c>
      <c r="J118" s="107">
        <v>0</v>
      </c>
      <c r="K118" s="107">
        <v>0</v>
      </c>
      <c r="L118" s="107">
        <v>0</v>
      </c>
      <c r="M118" s="107">
        <v>0</v>
      </c>
      <c r="N118" s="107">
        <v>0</v>
      </c>
      <c r="O118" s="107">
        <v>0</v>
      </c>
      <c r="P118" s="107">
        <v>0</v>
      </c>
      <c r="Q118" s="107">
        <v>0</v>
      </c>
      <c r="R118" s="107">
        <v>0</v>
      </c>
      <c r="S118" s="107">
        <v>0</v>
      </c>
      <c r="T118" s="107">
        <v>0</v>
      </c>
      <c r="U118" s="107">
        <v>0</v>
      </c>
      <c r="V118" s="107">
        <v>0</v>
      </c>
      <c r="W118" s="107">
        <v>0</v>
      </c>
      <c r="X118" s="107">
        <v>0</v>
      </c>
      <c r="Y118" s="107">
        <v>0</v>
      </c>
      <c r="Z118" s="107">
        <v>0</v>
      </c>
      <c r="AA118" s="107">
        <v>0</v>
      </c>
      <c r="AB118" s="107">
        <v>0</v>
      </c>
      <c r="AC118" s="107">
        <v>0</v>
      </c>
      <c r="AD118" s="107">
        <v>0</v>
      </c>
      <c r="AE118" s="107">
        <v>0</v>
      </c>
      <c r="AF118" s="107">
        <v>0</v>
      </c>
      <c r="AG118" s="107">
        <v>0</v>
      </c>
      <c r="AH118" s="107">
        <v>0</v>
      </c>
      <c r="AI118" s="107">
        <v>0</v>
      </c>
      <c r="AJ118" s="107">
        <v>0</v>
      </c>
      <c r="AK118" s="109" t="s">
        <v>255</v>
      </c>
    </row>
    <row r="119" spans="1:37" x14ac:dyDescent="0.25">
      <c r="A119" s="104" t="s">
        <v>67</v>
      </c>
      <c r="B119" s="104" t="s">
        <v>53</v>
      </c>
      <c r="C119" s="105">
        <v>660.971</v>
      </c>
      <c r="D119" s="106">
        <v>646</v>
      </c>
      <c r="E119" s="106">
        <v>589</v>
      </c>
      <c r="F119" s="106">
        <v>550</v>
      </c>
      <c r="G119" s="106">
        <v>472</v>
      </c>
      <c r="H119" s="106">
        <v>446</v>
      </c>
      <c r="I119" s="106">
        <v>453</v>
      </c>
      <c r="J119" s="106">
        <v>364.1</v>
      </c>
      <c r="K119" s="106">
        <v>338.8</v>
      </c>
      <c r="L119" s="106">
        <v>329</v>
      </c>
      <c r="M119" s="106">
        <v>323</v>
      </c>
      <c r="N119" s="106">
        <v>282</v>
      </c>
      <c r="O119" s="106">
        <v>290</v>
      </c>
      <c r="P119" s="106">
        <v>251</v>
      </c>
      <c r="Q119" s="106">
        <v>236</v>
      </c>
      <c r="R119" s="106">
        <v>237.86</v>
      </c>
      <c r="S119" s="106">
        <v>218.72</v>
      </c>
      <c r="T119" s="106">
        <v>242.51</v>
      </c>
      <c r="U119" s="106">
        <v>317.72000000000003</v>
      </c>
      <c r="V119" s="105">
        <v>318.90600000000001</v>
      </c>
      <c r="W119" s="105">
        <v>286.61200000000002</v>
      </c>
      <c r="X119" s="105">
        <v>274.649</v>
      </c>
      <c r="Y119" s="106">
        <v>306.91000000000003</v>
      </c>
      <c r="Z119" s="105">
        <v>298.66300000000001</v>
      </c>
      <c r="AA119" s="105">
        <v>269.34399999999999</v>
      </c>
      <c r="AB119" s="105">
        <v>230.58799999999999</v>
      </c>
      <c r="AC119" s="105">
        <v>223.43100000000001</v>
      </c>
      <c r="AD119" s="105">
        <v>204.62299999999999</v>
      </c>
      <c r="AE119" s="105">
        <v>236.792</v>
      </c>
      <c r="AF119" s="105">
        <v>189.13499999999999</v>
      </c>
      <c r="AG119" s="105">
        <v>188.47900000000001</v>
      </c>
      <c r="AH119" s="106">
        <v>171.39</v>
      </c>
      <c r="AI119" s="105">
        <v>138.226</v>
      </c>
      <c r="AJ119" s="106">
        <v>68.61</v>
      </c>
      <c r="AK119" s="105">
        <v>26.925999999999998</v>
      </c>
    </row>
    <row r="120" spans="1:37" x14ac:dyDescent="0.25">
      <c r="A120" s="104" t="s">
        <v>68</v>
      </c>
      <c r="B120" s="104" t="s">
        <v>47</v>
      </c>
      <c r="C120" s="107">
        <v>22486</v>
      </c>
      <c r="D120" s="107">
        <v>19612</v>
      </c>
      <c r="E120" s="107">
        <v>18849</v>
      </c>
      <c r="F120" s="107">
        <v>14915</v>
      </c>
      <c r="G120" s="107">
        <v>14530</v>
      </c>
      <c r="H120" s="107">
        <v>13310</v>
      </c>
      <c r="I120" s="107">
        <v>14735</v>
      </c>
      <c r="J120" s="107">
        <v>14383</v>
      </c>
      <c r="K120" s="107">
        <v>12464</v>
      </c>
      <c r="L120" s="107">
        <v>10687</v>
      </c>
      <c r="M120" s="107">
        <v>11727</v>
      </c>
      <c r="N120" s="107">
        <v>11838</v>
      </c>
      <c r="O120" s="107">
        <v>12400</v>
      </c>
      <c r="P120" s="107">
        <v>14892</v>
      </c>
      <c r="Q120" s="107">
        <v>13993</v>
      </c>
      <c r="R120" s="107">
        <v>14591</v>
      </c>
      <c r="S120" s="107">
        <v>14095</v>
      </c>
      <c r="T120" s="107">
        <v>16544</v>
      </c>
      <c r="U120" s="107">
        <v>16117</v>
      </c>
      <c r="V120" s="107">
        <v>14939</v>
      </c>
      <c r="W120" s="107">
        <v>17933</v>
      </c>
      <c r="X120" s="107">
        <v>18734</v>
      </c>
      <c r="Y120" s="107">
        <v>18796</v>
      </c>
      <c r="Z120" s="107">
        <v>20511</v>
      </c>
      <c r="AA120" s="107">
        <v>20995</v>
      </c>
      <c r="AB120" s="107">
        <v>19616</v>
      </c>
      <c r="AC120" s="107">
        <v>17057.2</v>
      </c>
      <c r="AD120" s="108">
        <v>21625.213</v>
      </c>
      <c r="AE120" s="108">
        <v>21883.023000000001</v>
      </c>
      <c r="AF120" s="108">
        <v>15917.098</v>
      </c>
      <c r="AG120" s="108">
        <v>12188.048000000001</v>
      </c>
      <c r="AH120" s="108">
        <v>11792.365</v>
      </c>
      <c r="AI120" s="108">
        <v>13995.183000000001</v>
      </c>
      <c r="AJ120" s="108">
        <v>13398.370999999999</v>
      </c>
      <c r="AK120" s="108">
        <v>10808.589</v>
      </c>
    </row>
    <row r="121" spans="1:37" x14ac:dyDescent="0.25">
      <c r="A121" s="104" t="s">
        <v>68</v>
      </c>
      <c r="B121" s="104" t="s">
        <v>48</v>
      </c>
      <c r="C121" s="106">
        <v>0</v>
      </c>
      <c r="D121" s="106">
        <v>0</v>
      </c>
      <c r="E121" s="106">
        <v>0</v>
      </c>
      <c r="F121" s="106">
        <v>0</v>
      </c>
      <c r="G121" s="106">
        <v>0</v>
      </c>
      <c r="H121" s="106">
        <v>0</v>
      </c>
      <c r="I121" s="106">
        <v>0</v>
      </c>
      <c r="J121" s="106">
        <v>0</v>
      </c>
      <c r="K121" s="106">
        <v>0</v>
      </c>
      <c r="L121" s="106">
        <v>0</v>
      </c>
      <c r="M121" s="106">
        <v>0</v>
      </c>
      <c r="N121" s="106">
        <v>0</v>
      </c>
      <c r="O121" s="106">
        <v>0</v>
      </c>
      <c r="P121" s="106">
        <v>0</v>
      </c>
      <c r="Q121" s="106">
        <v>0</v>
      </c>
      <c r="R121" s="106">
        <v>0</v>
      </c>
      <c r="S121" s="106">
        <v>0</v>
      </c>
      <c r="T121" s="106">
        <v>0</v>
      </c>
      <c r="U121" s="106">
        <v>0</v>
      </c>
      <c r="V121" s="106">
        <v>0</v>
      </c>
      <c r="W121" s="106">
        <v>0</v>
      </c>
      <c r="X121" s="106">
        <v>0</v>
      </c>
      <c r="Y121" s="106">
        <v>0</v>
      </c>
      <c r="Z121" s="106">
        <v>0</v>
      </c>
      <c r="AA121" s="106">
        <v>0</v>
      </c>
      <c r="AB121" s="106">
        <v>0</v>
      </c>
      <c r="AC121" s="106">
        <v>0</v>
      </c>
      <c r="AD121" s="106">
        <v>0</v>
      </c>
      <c r="AE121" s="106">
        <v>0</v>
      </c>
      <c r="AF121" s="106">
        <v>0</v>
      </c>
      <c r="AG121" s="106">
        <v>0</v>
      </c>
      <c r="AH121" s="106">
        <v>0</v>
      </c>
      <c r="AI121" s="106">
        <v>0</v>
      </c>
      <c r="AJ121" s="106">
        <v>0</v>
      </c>
      <c r="AK121" s="106">
        <v>0</v>
      </c>
    </row>
    <row r="122" spans="1:37" x14ac:dyDescent="0.25">
      <c r="A122" s="104" t="s">
        <v>68</v>
      </c>
      <c r="B122" s="104" t="s">
        <v>49</v>
      </c>
      <c r="C122" s="107">
        <v>2503</v>
      </c>
      <c r="D122" s="107">
        <v>2585</v>
      </c>
      <c r="E122" s="107">
        <v>2043</v>
      </c>
      <c r="F122" s="107">
        <v>1765</v>
      </c>
      <c r="G122" s="107">
        <v>1777</v>
      </c>
      <c r="H122" s="107">
        <v>1515</v>
      </c>
      <c r="I122" s="107">
        <v>829</v>
      </c>
      <c r="J122" s="107">
        <v>1534</v>
      </c>
      <c r="K122" s="107">
        <v>1318</v>
      </c>
      <c r="L122" s="107">
        <v>1361</v>
      </c>
      <c r="M122" s="107">
        <v>1368</v>
      </c>
      <c r="N122" s="107">
        <v>1180</v>
      </c>
      <c r="O122" s="107">
        <v>716</v>
      </c>
      <c r="P122" s="107">
        <v>1111</v>
      </c>
      <c r="Q122" s="107">
        <v>1195</v>
      </c>
      <c r="R122" s="107">
        <v>180</v>
      </c>
      <c r="S122" s="107">
        <v>0</v>
      </c>
      <c r="T122" s="107">
        <v>0</v>
      </c>
      <c r="U122" s="107">
        <v>31</v>
      </c>
      <c r="V122" s="107">
        <v>23</v>
      </c>
      <c r="W122" s="107">
        <v>0</v>
      </c>
      <c r="X122" s="107">
        <v>0</v>
      </c>
      <c r="Y122" s="107">
        <v>0</v>
      </c>
      <c r="Z122" s="107">
        <v>0</v>
      </c>
      <c r="AA122" s="107">
        <v>0</v>
      </c>
      <c r="AB122" s="107">
        <v>0</v>
      </c>
      <c r="AC122" s="107">
        <v>0</v>
      </c>
      <c r="AD122" s="107">
        <v>0</v>
      </c>
      <c r="AE122" s="107">
        <v>0</v>
      </c>
      <c r="AF122" s="107">
        <v>0</v>
      </c>
      <c r="AG122" s="107">
        <v>0</v>
      </c>
      <c r="AH122" s="107">
        <v>0</v>
      </c>
      <c r="AI122" s="107">
        <v>0</v>
      </c>
      <c r="AJ122" s="107">
        <v>0</v>
      </c>
      <c r="AK122" s="107">
        <v>0</v>
      </c>
    </row>
    <row r="123" spans="1:37" x14ac:dyDescent="0.25">
      <c r="A123" s="104" t="s">
        <v>68</v>
      </c>
      <c r="B123" s="104" t="s">
        <v>50</v>
      </c>
      <c r="C123" s="106">
        <v>90</v>
      </c>
      <c r="D123" s="106">
        <v>118</v>
      </c>
      <c r="E123" s="106">
        <v>23</v>
      </c>
      <c r="F123" s="106">
        <v>2</v>
      </c>
      <c r="G123" s="106">
        <v>7</v>
      </c>
      <c r="H123" s="106">
        <v>7</v>
      </c>
      <c r="I123" s="106">
        <v>3</v>
      </c>
      <c r="J123" s="106">
        <v>16</v>
      </c>
      <c r="K123" s="106">
        <v>6</v>
      </c>
      <c r="L123" s="106">
        <v>12</v>
      </c>
      <c r="M123" s="106">
        <v>12</v>
      </c>
      <c r="N123" s="106">
        <v>11</v>
      </c>
      <c r="O123" s="106">
        <v>13</v>
      </c>
      <c r="P123" s="106">
        <v>9</v>
      </c>
      <c r="Q123" s="106">
        <v>9</v>
      </c>
      <c r="R123" s="106">
        <v>4</v>
      </c>
      <c r="S123" s="106">
        <v>9</v>
      </c>
      <c r="T123" s="106">
        <v>5</v>
      </c>
      <c r="U123" s="106">
        <v>0</v>
      </c>
      <c r="V123" s="106">
        <v>0</v>
      </c>
      <c r="W123" s="106">
        <v>0</v>
      </c>
      <c r="X123" s="106">
        <v>0</v>
      </c>
      <c r="Y123" s="106">
        <v>0</v>
      </c>
      <c r="Z123" s="106">
        <v>0</v>
      </c>
      <c r="AA123" s="106">
        <v>0</v>
      </c>
      <c r="AB123" s="106">
        <v>0</v>
      </c>
      <c r="AC123" s="106">
        <v>0</v>
      </c>
      <c r="AD123" s="106">
        <v>0</v>
      </c>
      <c r="AE123" s="106">
        <v>0</v>
      </c>
      <c r="AF123" s="106">
        <v>0</v>
      </c>
      <c r="AG123" s="106">
        <v>0</v>
      </c>
      <c r="AH123" s="106">
        <v>0</v>
      </c>
      <c r="AI123" s="106">
        <v>0</v>
      </c>
      <c r="AJ123" s="106">
        <v>0</v>
      </c>
      <c r="AK123" s="106">
        <v>0</v>
      </c>
    </row>
    <row r="124" spans="1:37" x14ac:dyDescent="0.25">
      <c r="A124" s="104" t="s">
        <v>68</v>
      </c>
      <c r="B124" s="104" t="s">
        <v>51</v>
      </c>
      <c r="C124" s="108">
        <v>1011.511</v>
      </c>
      <c r="D124" s="108">
        <v>1519.624</v>
      </c>
      <c r="E124" s="108">
        <v>-1541.1010000000001</v>
      </c>
      <c r="F124" s="108">
        <v>-1146.625</v>
      </c>
      <c r="G124" s="108">
        <v>-102.57899999999999</v>
      </c>
      <c r="H124" s="108">
        <v>-281.815</v>
      </c>
      <c r="I124" s="108">
        <v>-379.61599999999999</v>
      </c>
      <c r="J124" s="108">
        <v>-810.04600000000005</v>
      </c>
      <c r="K124" s="108">
        <v>-657.94899999999996</v>
      </c>
      <c r="L124" s="108">
        <v>-103.15900000000001</v>
      </c>
      <c r="M124" s="108">
        <v>-714.87599999999998</v>
      </c>
      <c r="N124" s="107">
        <v>-543.45000000000005</v>
      </c>
      <c r="O124" s="108">
        <v>-786.46199999999999</v>
      </c>
      <c r="P124" s="108">
        <v>-1388.769</v>
      </c>
      <c r="Q124" s="108">
        <v>-529.346</v>
      </c>
      <c r="R124" s="108">
        <v>273.65600000000001</v>
      </c>
      <c r="S124" s="108">
        <v>143.297</v>
      </c>
      <c r="T124" s="108">
        <v>1484.248</v>
      </c>
      <c r="U124" s="108">
        <v>-147.399</v>
      </c>
      <c r="V124" s="108">
        <v>-1478.9490000000001</v>
      </c>
      <c r="W124" s="108">
        <v>555.76300000000003</v>
      </c>
      <c r="X124" s="108">
        <v>267.16300000000001</v>
      </c>
      <c r="Y124" s="108">
        <v>-950.63099999999997</v>
      </c>
      <c r="Z124" s="108">
        <v>-58.292000000000002</v>
      </c>
      <c r="AA124" s="108">
        <v>-364.65699999999998</v>
      </c>
      <c r="AB124" s="108">
        <v>-1565.317</v>
      </c>
      <c r="AC124" s="108">
        <v>2509.154</v>
      </c>
      <c r="AD124" s="108">
        <v>266.12700000000001</v>
      </c>
      <c r="AE124" s="107">
        <v>-509.25</v>
      </c>
      <c r="AF124" s="108">
        <v>-631.82600000000002</v>
      </c>
      <c r="AG124" s="108">
        <v>-115.86799999999999</v>
      </c>
      <c r="AH124" s="108">
        <v>1393.865</v>
      </c>
      <c r="AI124" s="108">
        <v>1064.4849999999999</v>
      </c>
      <c r="AJ124" s="108">
        <v>-1367.2380000000001</v>
      </c>
      <c r="AK124" s="108">
        <v>53.552999999999997</v>
      </c>
    </row>
    <row r="125" spans="1:37" x14ac:dyDescent="0.25">
      <c r="A125" s="104" t="s">
        <v>68</v>
      </c>
      <c r="B125" s="104" t="s">
        <v>52</v>
      </c>
      <c r="C125" s="106">
        <v>0</v>
      </c>
      <c r="D125" s="106">
        <v>0</v>
      </c>
      <c r="E125" s="106">
        <v>0</v>
      </c>
      <c r="F125" s="106">
        <v>0</v>
      </c>
      <c r="G125" s="106">
        <v>0</v>
      </c>
      <c r="H125" s="106">
        <v>0</v>
      </c>
      <c r="I125" s="106">
        <v>0</v>
      </c>
      <c r="J125" s="106">
        <v>0</v>
      </c>
      <c r="K125" s="106">
        <v>0</v>
      </c>
      <c r="L125" s="106">
        <v>0</v>
      </c>
      <c r="M125" s="106">
        <v>0</v>
      </c>
      <c r="N125" s="106">
        <v>0</v>
      </c>
      <c r="O125" s="106">
        <v>0</v>
      </c>
      <c r="P125" s="106">
        <v>0</v>
      </c>
      <c r="Q125" s="106">
        <v>0</v>
      </c>
      <c r="R125" s="106">
        <v>0</v>
      </c>
      <c r="S125" s="106">
        <v>0</v>
      </c>
      <c r="T125" s="106">
        <v>0</v>
      </c>
      <c r="U125" s="106">
        <v>0</v>
      </c>
      <c r="V125" s="106">
        <v>0</v>
      </c>
      <c r="W125" s="106">
        <v>0</v>
      </c>
      <c r="X125" s="106">
        <v>0</v>
      </c>
      <c r="Y125" s="106">
        <v>0</v>
      </c>
      <c r="Z125" s="106">
        <v>0</v>
      </c>
      <c r="AA125" s="106">
        <v>0</v>
      </c>
      <c r="AB125" s="106">
        <v>0</v>
      </c>
      <c r="AC125" s="106">
        <v>0</v>
      </c>
      <c r="AD125" s="106">
        <v>0</v>
      </c>
      <c r="AE125" s="106">
        <v>0</v>
      </c>
      <c r="AF125" s="106">
        <v>0</v>
      </c>
      <c r="AG125" s="106">
        <v>0</v>
      </c>
      <c r="AH125" s="106">
        <v>0</v>
      </c>
      <c r="AI125" s="106">
        <v>0</v>
      </c>
      <c r="AJ125" s="106">
        <v>0</v>
      </c>
      <c r="AK125" s="110" t="s">
        <v>255</v>
      </c>
    </row>
    <row r="126" spans="1:37" x14ac:dyDescent="0.25">
      <c r="A126" s="104" t="s">
        <v>68</v>
      </c>
      <c r="B126" s="104" t="s">
        <v>53</v>
      </c>
      <c r="C126" s="108">
        <v>25910.510999999999</v>
      </c>
      <c r="D126" s="108">
        <v>23598.624</v>
      </c>
      <c r="E126" s="108">
        <v>19327.899000000001</v>
      </c>
      <c r="F126" s="108">
        <v>15531.375</v>
      </c>
      <c r="G126" s="108">
        <v>16197.421</v>
      </c>
      <c r="H126" s="108">
        <v>14536.184999999999</v>
      </c>
      <c r="I126" s="108">
        <v>15181.384</v>
      </c>
      <c r="J126" s="108">
        <v>15090.954</v>
      </c>
      <c r="K126" s="108">
        <v>13118.050999999999</v>
      </c>
      <c r="L126" s="108">
        <v>11932.841</v>
      </c>
      <c r="M126" s="108">
        <v>12368.124</v>
      </c>
      <c r="N126" s="107">
        <v>12463.55</v>
      </c>
      <c r="O126" s="108">
        <v>12316.538</v>
      </c>
      <c r="P126" s="108">
        <v>14605.231</v>
      </c>
      <c r="Q126" s="108">
        <v>14649.654</v>
      </c>
      <c r="R126" s="108">
        <v>15040.656000000001</v>
      </c>
      <c r="S126" s="108">
        <v>14229.297</v>
      </c>
      <c r="T126" s="108">
        <v>18023.248</v>
      </c>
      <c r="U126" s="108">
        <v>16000.601000000001</v>
      </c>
      <c r="V126" s="108">
        <v>13483.050999999999</v>
      </c>
      <c r="W126" s="108">
        <v>18488.762999999999</v>
      </c>
      <c r="X126" s="108">
        <v>19001.163</v>
      </c>
      <c r="Y126" s="108">
        <v>17845.368999999999</v>
      </c>
      <c r="Z126" s="108">
        <v>20452.707999999999</v>
      </c>
      <c r="AA126" s="108">
        <v>20630.343000000001</v>
      </c>
      <c r="AB126" s="108">
        <v>18050.683000000001</v>
      </c>
      <c r="AC126" s="108">
        <v>19566.353999999999</v>
      </c>
      <c r="AD126" s="107">
        <v>21891.34</v>
      </c>
      <c r="AE126" s="108">
        <v>21373.773000000001</v>
      </c>
      <c r="AF126" s="108">
        <v>15285.272000000001</v>
      </c>
      <c r="AG126" s="107">
        <v>12072.18</v>
      </c>
      <c r="AH126" s="107">
        <v>13186.23</v>
      </c>
      <c r="AI126" s="108">
        <v>15059.668</v>
      </c>
      <c r="AJ126" s="108">
        <v>12031.133</v>
      </c>
      <c r="AK126" s="108">
        <v>10862.142</v>
      </c>
    </row>
    <row r="127" spans="1:37" ht="11.5" customHeight="1" x14ac:dyDescent="0.3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37" ht="14.5" x14ac:dyDescent="0.35">
      <c r="A128" s="101" t="s">
        <v>69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 spans="1:37" ht="14.5" x14ac:dyDescent="0.35">
      <c r="A129" s="101" t="s">
        <v>255</v>
      </c>
      <c r="B129" s="100" t="s">
        <v>70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 spans="1:37" ht="11.5" customHeight="1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 spans="1:37" ht="11.5" customHeight="1" x14ac:dyDescent="0.25"/>
    <row r="132" spans="1:37" ht="11.5" customHeight="1" x14ac:dyDescent="0.25"/>
  </sheetData>
  <mergeCells count="1">
    <mergeCell ref="A13:B13"/>
  </mergeCells>
  <hyperlinks>
    <hyperlink ref="A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AK62"/>
  <sheetViews>
    <sheetView topLeftCell="J18" workbookViewId="0">
      <selection activeCell="AB56" sqref="AB56:AK56"/>
    </sheetView>
  </sheetViews>
  <sheetFormatPr defaultRowHeight="12.5" x14ac:dyDescent="0.25"/>
  <cols>
    <col min="1" max="1" width="25.7265625" style="16" customWidth="1"/>
    <col min="2" max="2" width="28.1796875" style="16" customWidth="1"/>
    <col min="3" max="16384" width="8.7265625" style="16"/>
  </cols>
  <sheetData>
    <row r="1" spans="1:37" x14ac:dyDescent="0.25">
      <c r="A1" s="15" t="s">
        <v>257</v>
      </c>
    </row>
    <row r="2" spans="1:37" x14ac:dyDescent="0.25">
      <c r="A2" s="16" t="s">
        <v>74</v>
      </c>
    </row>
    <row r="5" spans="1:37" ht="14.5" x14ac:dyDescent="0.35">
      <c r="A5" s="100" t="s">
        <v>287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37" ht="14.5" x14ac:dyDescent="0.35">
      <c r="A6" s="100" t="s">
        <v>1</v>
      </c>
      <c r="B6" s="101" t="s">
        <v>286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 spans="1:37" ht="14.5" x14ac:dyDescent="0.35">
      <c r="A7" s="100" t="s">
        <v>2</v>
      </c>
      <c r="B7" s="100" t="s">
        <v>284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 spans="1:37" ht="14.5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 spans="1:37" ht="14.5" x14ac:dyDescent="0.35">
      <c r="A9" s="101" t="s">
        <v>3</v>
      </c>
      <c r="B9"/>
      <c r="C9" s="100" t="s">
        <v>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 spans="1:37" ht="14.5" x14ac:dyDescent="0.35">
      <c r="A10" s="101" t="s">
        <v>5</v>
      </c>
      <c r="B10"/>
      <c r="C10" s="100" t="s">
        <v>75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14.5" x14ac:dyDescent="0.35">
      <c r="A11" s="101" t="s">
        <v>7</v>
      </c>
      <c r="B11"/>
      <c r="C11" s="100" t="s">
        <v>8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 spans="1:37" ht="14.5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 spans="1:37" x14ac:dyDescent="0.25">
      <c r="A13" s="116" t="s">
        <v>9</v>
      </c>
      <c r="B13" s="116" t="s">
        <v>9</v>
      </c>
      <c r="C13" s="102" t="s">
        <v>10</v>
      </c>
      <c r="D13" s="102" t="s">
        <v>11</v>
      </c>
      <c r="E13" s="102" t="s">
        <v>12</v>
      </c>
      <c r="F13" s="102" t="s">
        <v>13</v>
      </c>
      <c r="G13" s="102" t="s">
        <v>14</v>
      </c>
      <c r="H13" s="102" t="s">
        <v>15</v>
      </c>
      <c r="I13" s="102" t="s">
        <v>16</v>
      </c>
      <c r="J13" s="102" t="s">
        <v>17</v>
      </c>
      <c r="K13" s="102" t="s">
        <v>18</v>
      </c>
      <c r="L13" s="102" t="s">
        <v>19</v>
      </c>
      <c r="M13" s="102" t="s">
        <v>20</v>
      </c>
      <c r="N13" s="102" t="s">
        <v>21</v>
      </c>
      <c r="O13" s="102" t="s">
        <v>22</v>
      </c>
      <c r="P13" s="102" t="s">
        <v>23</v>
      </c>
      <c r="Q13" s="102" t="s">
        <v>24</v>
      </c>
      <c r="R13" s="102" t="s">
        <v>25</v>
      </c>
      <c r="S13" s="102" t="s">
        <v>26</v>
      </c>
      <c r="T13" s="102" t="s">
        <v>27</v>
      </c>
      <c r="U13" s="102" t="s">
        <v>28</v>
      </c>
      <c r="V13" s="102" t="s">
        <v>29</v>
      </c>
      <c r="W13" s="102" t="s">
        <v>30</v>
      </c>
      <c r="X13" s="102" t="s">
        <v>31</v>
      </c>
      <c r="Y13" s="102" t="s">
        <v>32</v>
      </c>
      <c r="Z13" s="102" t="s">
        <v>33</v>
      </c>
      <c r="AA13" s="102" t="s">
        <v>34</v>
      </c>
      <c r="AB13" s="102" t="s">
        <v>35</v>
      </c>
      <c r="AC13" s="102" t="s">
        <v>36</v>
      </c>
      <c r="AD13" s="102" t="s">
        <v>37</v>
      </c>
      <c r="AE13" s="102" t="s">
        <v>38</v>
      </c>
      <c r="AF13" s="102" t="s">
        <v>39</v>
      </c>
      <c r="AG13" s="102" t="s">
        <v>40</v>
      </c>
      <c r="AH13" s="102" t="s">
        <v>41</v>
      </c>
      <c r="AI13" s="102" t="s">
        <v>42</v>
      </c>
      <c r="AJ13" s="102" t="s">
        <v>254</v>
      </c>
      <c r="AK13" s="102" t="s">
        <v>285</v>
      </c>
    </row>
    <row r="14" spans="1:37" ht="14.5" x14ac:dyDescent="0.35">
      <c r="A14" s="103" t="s">
        <v>43</v>
      </c>
      <c r="B14" s="103" t="s">
        <v>44</v>
      </c>
      <c r="C14" s="88" t="s">
        <v>45</v>
      </c>
      <c r="D14" s="88" t="s">
        <v>45</v>
      </c>
      <c r="E14" s="88" t="s">
        <v>45</v>
      </c>
      <c r="F14" s="88" t="s">
        <v>45</v>
      </c>
      <c r="G14" s="88" t="s">
        <v>45</v>
      </c>
      <c r="H14" s="88" t="s">
        <v>45</v>
      </c>
      <c r="I14" s="88" t="s">
        <v>45</v>
      </c>
      <c r="J14" s="88" t="s">
        <v>45</v>
      </c>
      <c r="K14" s="88" t="s">
        <v>45</v>
      </c>
      <c r="L14" s="88" t="s">
        <v>45</v>
      </c>
      <c r="M14" s="88" t="s">
        <v>45</v>
      </c>
      <c r="N14" s="88" t="s">
        <v>45</v>
      </c>
      <c r="O14" s="88" t="s">
        <v>45</v>
      </c>
      <c r="P14" s="88" t="s">
        <v>45</v>
      </c>
      <c r="Q14" s="88" t="s">
        <v>45</v>
      </c>
      <c r="R14" s="88" t="s">
        <v>45</v>
      </c>
      <c r="S14" s="88" t="s">
        <v>45</v>
      </c>
      <c r="T14" s="88" t="s">
        <v>45</v>
      </c>
      <c r="U14" s="88" t="s">
        <v>45</v>
      </c>
      <c r="V14" s="88" t="s">
        <v>45</v>
      </c>
      <c r="W14" s="88" t="s">
        <v>45</v>
      </c>
      <c r="X14" s="88" t="s">
        <v>45</v>
      </c>
      <c r="Y14" s="88" t="s">
        <v>45</v>
      </c>
      <c r="Z14" s="88" t="s">
        <v>45</v>
      </c>
      <c r="AA14" s="88" t="s">
        <v>45</v>
      </c>
      <c r="AB14" s="88" t="s">
        <v>45</v>
      </c>
      <c r="AC14" s="88" t="s">
        <v>45</v>
      </c>
      <c r="AD14" s="88" t="s">
        <v>45</v>
      </c>
      <c r="AE14" s="88" t="s">
        <v>45</v>
      </c>
      <c r="AF14" s="88" t="s">
        <v>45</v>
      </c>
      <c r="AG14" s="88" t="s">
        <v>45</v>
      </c>
      <c r="AH14" s="88" t="s">
        <v>45</v>
      </c>
      <c r="AI14" s="88" t="s">
        <v>45</v>
      </c>
      <c r="AJ14" s="88" t="s">
        <v>45</v>
      </c>
      <c r="AK14" s="88" t="s">
        <v>45</v>
      </c>
    </row>
    <row r="15" spans="1:37" x14ac:dyDescent="0.25">
      <c r="A15" s="104" t="s">
        <v>76</v>
      </c>
      <c r="B15" s="104" t="s">
        <v>47</v>
      </c>
      <c r="C15" s="105">
        <v>1411894.7350000001</v>
      </c>
      <c r="D15" s="105">
        <v>1269576.057</v>
      </c>
      <c r="E15" s="105">
        <v>1166082.301</v>
      </c>
      <c r="F15" s="105">
        <v>1115938.7250000001</v>
      </c>
      <c r="G15" s="105">
        <v>1117020.175</v>
      </c>
      <c r="H15" s="105">
        <v>1093373.196</v>
      </c>
      <c r="I15" s="105">
        <v>1032362.311</v>
      </c>
      <c r="J15" s="105">
        <v>1048471.425</v>
      </c>
      <c r="K15" s="105">
        <v>1032699.405</v>
      </c>
      <c r="L15" s="105">
        <v>921890.21400000004</v>
      </c>
      <c r="M15" s="105">
        <v>970724.71200000006</v>
      </c>
      <c r="N15" s="106">
        <v>907063.91</v>
      </c>
      <c r="O15" s="105">
        <v>911194.83700000006</v>
      </c>
      <c r="P15" s="106">
        <v>936692.1</v>
      </c>
      <c r="Q15" s="105">
        <v>959501.85400000005</v>
      </c>
      <c r="R15" s="106">
        <v>928971.46</v>
      </c>
      <c r="S15" s="106">
        <v>964932.06</v>
      </c>
      <c r="T15" s="105">
        <v>986904.50399999996</v>
      </c>
      <c r="U15" s="105">
        <v>929712.74699999997</v>
      </c>
      <c r="V15" s="105">
        <v>666126.353</v>
      </c>
      <c r="W15" s="105">
        <v>850823.38500000001</v>
      </c>
      <c r="X15" s="105">
        <v>837590.79099999997</v>
      </c>
      <c r="Y15" s="106">
        <v>827106.21</v>
      </c>
      <c r="Z15" s="105">
        <v>819499.68299999996</v>
      </c>
      <c r="AA15" s="105">
        <v>840209.46600000001</v>
      </c>
      <c r="AB15" s="105">
        <v>844132.62399999995</v>
      </c>
      <c r="AC15" s="105">
        <v>829030.12800000003</v>
      </c>
      <c r="AD15" s="105">
        <v>838442.29700000002</v>
      </c>
      <c r="AE15" s="105">
        <v>828051.63100000005</v>
      </c>
      <c r="AF15" s="105">
        <v>786074.06599999999</v>
      </c>
      <c r="AG15" s="105">
        <v>675870.58200000005</v>
      </c>
      <c r="AH15" s="105">
        <v>753738.78099999996</v>
      </c>
      <c r="AI15" s="105">
        <v>695597.85600000003</v>
      </c>
      <c r="AJ15" s="105">
        <v>660223.89800000004</v>
      </c>
      <c r="AK15" s="106">
        <v>640807.21</v>
      </c>
    </row>
    <row r="16" spans="1:37" x14ac:dyDescent="0.25">
      <c r="A16" s="104" t="s">
        <v>76</v>
      </c>
      <c r="B16" s="104" t="s">
        <v>48</v>
      </c>
      <c r="C16" s="107">
        <v>53923</v>
      </c>
      <c r="D16" s="107">
        <v>35622</v>
      </c>
      <c r="E16" s="107">
        <v>30338</v>
      </c>
      <c r="F16" s="107">
        <v>27728</v>
      </c>
      <c r="G16" s="107">
        <v>21990</v>
      </c>
      <c r="H16" s="107">
        <v>20623</v>
      </c>
      <c r="I16" s="107">
        <v>19058</v>
      </c>
      <c r="J16" s="107">
        <v>8739</v>
      </c>
      <c r="K16" s="107">
        <v>9337</v>
      </c>
      <c r="L16" s="107">
        <v>8891</v>
      </c>
      <c r="M16" s="107">
        <v>9456</v>
      </c>
      <c r="N16" s="107">
        <v>4795</v>
      </c>
      <c r="O16" s="107">
        <v>4394</v>
      </c>
      <c r="P16" s="107">
        <v>4158</v>
      </c>
      <c r="Q16" s="107">
        <v>4941</v>
      </c>
      <c r="R16" s="107">
        <v>4886</v>
      </c>
      <c r="S16" s="107">
        <v>4493</v>
      </c>
      <c r="T16" s="107">
        <v>3847</v>
      </c>
      <c r="U16" s="107">
        <v>3799</v>
      </c>
      <c r="V16" s="107">
        <v>3058</v>
      </c>
      <c r="W16" s="107">
        <v>3104</v>
      </c>
      <c r="X16" s="107">
        <v>721</v>
      </c>
      <c r="Y16" s="107">
        <v>278</v>
      </c>
      <c r="Z16" s="107">
        <v>247</v>
      </c>
      <c r="AA16" s="107">
        <v>299</v>
      </c>
      <c r="AB16" s="107">
        <v>573</v>
      </c>
      <c r="AC16" s="107">
        <v>221</v>
      </c>
      <c r="AD16" s="107">
        <v>549</v>
      </c>
      <c r="AE16" s="107">
        <v>701</v>
      </c>
      <c r="AF16" s="107">
        <v>496</v>
      </c>
      <c r="AG16" s="107">
        <v>383</v>
      </c>
      <c r="AH16" s="107">
        <v>33</v>
      </c>
      <c r="AI16" s="107">
        <v>0</v>
      </c>
      <c r="AJ16" s="107">
        <v>28</v>
      </c>
      <c r="AK16" s="107">
        <v>0</v>
      </c>
    </row>
    <row r="17" spans="1:37" x14ac:dyDescent="0.25">
      <c r="A17" s="104" t="s">
        <v>76</v>
      </c>
      <c r="B17" s="104" t="s">
        <v>49</v>
      </c>
      <c r="C17" s="106">
        <v>207</v>
      </c>
      <c r="D17" s="106">
        <v>213</v>
      </c>
      <c r="E17" s="106">
        <v>204</v>
      </c>
      <c r="F17" s="106">
        <v>183</v>
      </c>
      <c r="G17" s="106">
        <v>75</v>
      </c>
      <c r="H17" s="106">
        <v>0</v>
      </c>
      <c r="I17" s="106">
        <v>0</v>
      </c>
      <c r="J17" s="106">
        <v>0</v>
      </c>
      <c r="K17" s="106">
        <v>0</v>
      </c>
      <c r="L17" s="106">
        <v>0</v>
      </c>
      <c r="M17" s="106">
        <v>0</v>
      </c>
      <c r="N17" s="106">
        <v>0</v>
      </c>
      <c r="O17" s="106">
        <v>0</v>
      </c>
      <c r="P17" s="106">
        <v>0</v>
      </c>
      <c r="Q17" s="106">
        <v>0</v>
      </c>
      <c r="R17" s="106">
        <v>0</v>
      </c>
      <c r="S17" s="106">
        <v>0</v>
      </c>
      <c r="T17" s="106">
        <v>0</v>
      </c>
      <c r="U17" s="106">
        <v>0</v>
      </c>
      <c r="V17" s="106">
        <v>0</v>
      </c>
      <c r="W17" s="106">
        <v>0</v>
      </c>
      <c r="X17" s="106">
        <v>0</v>
      </c>
      <c r="Y17" s="106">
        <v>0</v>
      </c>
      <c r="Z17" s="106">
        <v>0</v>
      </c>
      <c r="AA17" s="106">
        <v>0</v>
      </c>
      <c r="AB17" s="106">
        <v>0</v>
      </c>
      <c r="AC17" s="106">
        <v>0</v>
      </c>
      <c r="AD17" s="106">
        <v>0</v>
      </c>
      <c r="AE17" s="106">
        <v>0</v>
      </c>
      <c r="AF17" s="106">
        <v>0</v>
      </c>
      <c r="AG17" s="106">
        <v>0</v>
      </c>
      <c r="AH17" s="106">
        <v>0</v>
      </c>
      <c r="AI17" s="106">
        <v>0</v>
      </c>
      <c r="AJ17" s="106">
        <v>0</v>
      </c>
      <c r="AK17" s="106">
        <v>0</v>
      </c>
    </row>
    <row r="18" spans="1:37" x14ac:dyDescent="0.25">
      <c r="A18" s="104" t="s">
        <v>76</v>
      </c>
      <c r="B18" s="104" t="s">
        <v>50</v>
      </c>
      <c r="C18" s="107">
        <v>212</v>
      </c>
      <c r="D18" s="107">
        <v>216</v>
      </c>
      <c r="E18" s="107">
        <v>198</v>
      </c>
      <c r="F18" s="107">
        <v>180</v>
      </c>
      <c r="G18" s="107">
        <v>0</v>
      </c>
      <c r="H18" s="107">
        <v>0</v>
      </c>
      <c r="I18" s="107">
        <v>0</v>
      </c>
      <c r="J18" s="107">
        <v>0</v>
      </c>
      <c r="K18" s="107">
        <v>0</v>
      </c>
      <c r="L18" s="107">
        <v>0</v>
      </c>
      <c r="M18" s="107">
        <v>0</v>
      </c>
      <c r="N18" s="107">
        <v>0</v>
      </c>
      <c r="O18" s="107">
        <v>0</v>
      </c>
      <c r="P18" s="107">
        <v>0</v>
      </c>
      <c r="Q18" s="107">
        <v>0</v>
      </c>
      <c r="R18" s="107">
        <v>0</v>
      </c>
      <c r="S18" s="107">
        <v>0</v>
      </c>
      <c r="T18" s="107">
        <v>0</v>
      </c>
      <c r="U18" s="107">
        <v>0</v>
      </c>
      <c r="V18" s="107">
        <v>0</v>
      </c>
      <c r="W18" s="107">
        <v>0</v>
      </c>
      <c r="X18" s="107">
        <v>0</v>
      </c>
      <c r="Y18" s="107">
        <v>0</v>
      </c>
      <c r="Z18" s="107">
        <v>0</v>
      </c>
      <c r="AA18" s="107">
        <v>0</v>
      </c>
      <c r="AB18" s="107">
        <v>0</v>
      </c>
      <c r="AC18" s="107">
        <v>0</v>
      </c>
      <c r="AD18" s="107">
        <v>0</v>
      </c>
      <c r="AE18" s="107">
        <v>0</v>
      </c>
      <c r="AF18" s="107">
        <v>0</v>
      </c>
      <c r="AG18" s="107">
        <v>0</v>
      </c>
      <c r="AH18" s="107">
        <v>0</v>
      </c>
      <c r="AI18" s="107">
        <v>0</v>
      </c>
      <c r="AJ18" s="107">
        <v>0</v>
      </c>
      <c r="AK18" s="107">
        <v>0</v>
      </c>
    </row>
    <row r="19" spans="1:37" x14ac:dyDescent="0.25">
      <c r="A19" s="104" t="s">
        <v>76</v>
      </c>
      <c r="B19" s="104" t="s">
        <v>51</v>
      </c>
      <c r="C19" s="106">
        <v>1794</v>
      </c>
      <c r="D19" s="106">
        <v>1602</v>
      </c>
      <c r="E19" s="106">
        <v>3563</v>
      </c>
      <c r="F19" s="106">
        <v>2486</v>
      </c>
      <c r="G19" s="106">
        <v>0</v>
      </c>
      <c r="H19" s="106">
        <v>0</v>
      </c>
      <c r="I19" s="106">
        <v>2</v>
      </c>
      <c r="J19" s="106">
        <v>0</v>
      </c>
      <c r="K19" s="106">
        <v>0</v>
      </c>
      <c r="L19" s="106">
        <v>0</v>
      </c>
      <c r="M19" s="106">
        <v>0</v>
      </c>
      <c r="N19" s="106">
        <v>0</v>
      </c>
      <c r="O19" s="106">
        <v>0</v>
      </c>
      <c r="P19" s="106">
        <v>0</v>
      </c>
      <c r="Q19" s="106">
        <v>0</v>
      </c>
      <c r="R19" s="106">
        <v>0</v>
      </c>
      <c r="S19" s="106">
        <v>0</v>
      </c>
      <c r="T19" s="106">
        <v>0</v>
      </c>
      <c r="U19" s="106">
        <v>0</v>
      </c>
      <c r="V19" s="106">
        <v>0</v>
      </c>
      <c r="W19" s="106">
        <v>0</v>
      </c>
      <c r="X19" s="106">
        <v>0</v>
      </c>
      <c r="Y19" s="106">
        <v>0</v>
      </c>
      <c r="Z19" s="106">
        <v>0</v>
      </c>
      <c r="AA19" s="106">
        <v>0</v>
      </c>
      <c r="AB19" s="106">
        <v>0</v>
      </c>
      <c r="AC19" s="106">
        <v>0</v>
      </c>
      <c r="AD19" s="106">
        <v>0</v>
      </c>
      <c r="AE19" s="106">
        <v>0</v>
      </c>
      <c r="AF19" s="106">
        <v>0</v>
      </c>
      <c r="AG19" s="106">
        <v>0</v>
      </c>
      <c r="AH19" s="106">
        <v>0</v>
      </c>
      <c r="AI19" s="106">
        <v>0</v>
      </c>
      <c r="AJ19" s="106">
        <v>0</v>
      </c>
      <c r="AK19" s="106">
        <v>0</v>
      </c>
    </row>
    <row r="20" spans="1:37" x14ac:dyDescent="0.25">
      <c r="A20" s="104" t="s">
        <v>76</v>
      </c>
      <c r="B20" s="104" t="s">
        <v>52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07">
        <v>0</v>
      </c>
      <c r="N20" s="107">
        <v>0</v>
      </c>
      <c r="O20" s="107">
        <v>0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07">
        <v>0</v>
      </c>
      <c r="Y20" s="107">
        <v>0</v>
      </c>
      <c r="Z20" s="107">
        <v>0</v>
      </c>
      <c r="AA20" s="107">
        <v>0</v>
      </c>
      <c r="AB20" s="107">
        <v>0</v>
      </c>
      <c r="AC20" s="107">
        <v>0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7">
        <v>0</v>
      </c>
      <c r="AJ20" s="107">
        <v>0</v>
      </c>
      <c r="AK20" s="109" t="s">
        <v>255</v>
      </c>
    </row>
    <row r="21" spans="1:37" x14ac:dyDescent="0.25">
      <c r="A21" s="104" t="s">
        <v>76</v>
      </c>
      <c r="B21" s="104" t="s">
        <v>53</v>
      </c>
      <c r="C21" s="105">
        <v>1467606.7350000001</v>
      </c>
      <c r="D21" s="105">
        <v>1306797.057</v>
      </c>
      <c r="E21" s="105">
        <v>1199989.301</v>
      </c>
      <c r="F21" s="105">
        <v>1146155.7250000001</v>
      </c>
      <c r="G21" s="105">
        <v>1139085.175</v>
      </c>
      <c r="H21" s="105">
        <v>1113996.196</v>
      </c>
      <c r="I21" s="105">
        <v>1051422.311</v>
      </c>
      <c r="J21" s="105">
        <v>1057210.425</v>
      </c>
      <c r="K21" s="105">
        <v>1042036.405</v>
      </c>
      <c r="L21" s="105">
        <v>930781.21400000004</v>
      </c>
      <c r="M21" s="105">
        <v>980180.71200000006</v>
      </c>
      <c r="N21" s="106">
        <v>911858.91</v>
      </c>
      <c r="O21" s="105">
        <v>915588.83700000006</v>
      </c>
      <c r="P21" s="106">
        <v>940850.1</v>
      </c>
      <c r="Q21" s="105">
        <v>964442.85400000005</v>
      </c>
      <c r="R21" s="106">
        <v>933857.46</v>
      </c>
      <c r="S21" s="106">
        <v>969425.06</v>
      </c>
      <c r="T21" s="105">
        <v>990751.50399999996</v>
      </c>
      <c r="U21" s="105">
        <v>933511.74699999997</v>
      </c>
      <c r="V21" s="105">
        <v>669184.353</v>
      </c>
      <c r="W21" s="105">
        <v>853927.38500000001</v>
      </c>
      <c r="X21" s="105">
        <v>838311.79099999997</v>
      </c>
      <c r="Y21" s="106">
        <v>827384.21</v>
      </c>
      <c r="Z21" s="105">
        <v>819746.68299999996</v>
      </c>
      <c r="AA21" s="105">
        <v>840508.46600000001</v>
      </c>
      <c r="AB21" s="105">
        <v>844705.62399999995</v>
      </c>
      <c r="AC21" s="105">
        <v>829251.12800000003</v>
      </c>
      <c r="AD21" s="105">
        <v>838991.29700000002</v>
      </c>
      <c r="AE21" s="105">
        <v>828752.63100000005</v>
      </c>
      <c r="AF21" s="105">
        <v>786570.06599999999</v>
      </c>
      <c r="AG21" s="105">
        <v>676253.58200000005</v>
      </c>
      <c r="AH21" s="105">
        <v>753771.78099999996</v>
      </c>
      <c r="AI21" s="105">
        <v>695597.85600000003</v>
      </c>
      <c r="AJ21" s="105">
        <v>660251.89800000004</v>
      </c>
      <c r="AK21" s="106">
        <v>640807.21</v>
      </c>
    </row>
    <row r="22" spans="1:37" x14ac:dyDescent="0.25">
      <c r="A22" s="104" t="s">
        <v>77</v>
      </c>
      <c r="B22" s="104" t="s">
        <v>47</v>
      </c>
      <c r="C22" s="107">
        <v>623526</v>
      </c>
      <c r="D22" s="108">
        <v>541942.28200000001</v>
      </c>
      <c r="E22" s="108">
        <v>512077.71799999999</v>
      </c>
      <c r="F22" s="108">
        <v>475648.826</v>
      </c>
      <c r="G22" s="108">
        <v>471113.01699999999</v>
      </c>
      <c r="H22" s="108">
        <v>464061.67099999997</v>
      </c>
      <c r="I22" s="108">
        <v>447815.12800000003</v>
      </c>
      <c r="J22" s="108">
        <v>444540.02399999998</v>
      </c>
      <c r="K22" s="108">
        <v>438591.29399999999</v>
      </c>
      <c r="L22" s="108">
        <v>373395.16499999998</v>
      </c>
      <c r="M22" s="107">
        <v>387370.82</v>
      </c>
      <c r="N22" s="108">
        <v>352464.99599999998</v>
      </c>
      <c r="O22" s="108">
        <v>343092.51400000002</v>
      </c>
      <c r="P22" s="108">
        <v>348306.10200000001</v>
      </c>
      <c r="Q22" s="108">
        <v>349586.57900000003</v>
      </c>
      <c r="R22" s="107">
        <v>333940.32</v>
      </c>
      <c r="S22" s="108">
        <v>353439.446</v>
      </c>
      <c r="T22" s="108">
        <v>362016.32500000001</v>
      </c>
      <c r="U22" s="108">
        <v>347307.886</v>
      </c>
      <c r="V22" s="108">
        <v>261791.03200000001</v>
      </c>
      <c r="W22" s="108">
        <v>316420.13500000001</v>
      </c>
      <c r="X22" s="108">
        <v>312988.43300000002</v>
      </c>
      <c r="Y22" s="108">
        <v>313280.467</v>
      </c>
      <c r="Z22" s="108">
        <v>307167.28200000001</v>
      </c>
      <c r="AA22" s="108">
        <v>308776.00900000002</v>
      </c>
      <c r="AB22" s="108">
        <v>315677.81300000002</v>
      </c>
      <c r="AC22" s="108">
        <v>312051.973</v>
      </c>
      <c r="AD22" s="108">
        <v>308086.26400000002</v>
      </c>
      <c r="AE22" s="108">
        <v>277101.80099999998</v>
      </c>
      <c r="AF22" s="108">
        <v>266599.745</v>
      </c>
      <c r="AG22" s="108">
        <v>242473.139</v>
      </c>
      <c r="AH22" s="108">
        <v>263411.61200000002</v>
      </c>
      <c r="AI22" s="108">
        <v>247161.212</v>
      </c>
      <c r="AJ22" s="108">
        <v>242472.69500000001</v>
      </c>
      <c r="AK22" s="108">
        <v>216582.63800000001</v>
      </c>
    </row>
    <row r="23" spans="1:37" x14ac:dyDescent="0.25">
      <c r="A23" s="104" t="s">
        <v>77</v>
      </c>
      <c r="B23" s="104" t="s">
        <v>48</v>
      </c>
      <c r="C23" s="106">
        <v>4740</v>
      </c>
      <c r="D23" s="106">
        <v>5261</v>
      </c>
      <c r="E23" s="106">
        <v>3816</v>
      </c>
      <c r="F23" s="106">
        <v>1734</v>
      </c>
      <c r="G23" s="106">
        <v>109</v>
      </c>
      <c r="H23" s="106">
        <v>3</v>
      </c>
      <c r="I23" s="106">
        <v>0</v>
      </c>
      <c r="J23" s="106">
        <v>0</v>
      </c>
      <c r="K23" s="106">
        <v>0</v>
      </c>
      <c r="L23" s="106">
        <v>0</v>
      </c>
      <c r="M23" s="106">
        <v>0</v>
      </c>
      <c r="N23" s="106">
        <v>0</v>
      </c>
      <c r="O23" s="106">
        <v>0</v>
      </c>
      <c r="P23" s="106">
        <v>0</v>
      </c>
      <c r="Q23" s="106">
        <v>0</v>
      </c>
      <c r="R23" s="106">
        <v>0</v>
      </c>
      <c r="S23" s="106">
        <v>0</v>
      </c>
      <c r="T23" s="106">
        <v>0</v>
      </c>
      <c r="U23" s="106">
        <v>0</v>
      </c>
      <c r="V23" s="106">
        <v>0</v>
      </c>
      <c r="W23" s="106">
        <v>0</v>
      </c>
      <c r="X23" s="106">
        <v>0</v>
      </c>
      <c r="Y23" s="106">
        <v>0</v>
      </c>
      <c r="Z23" s="106">
        <v>0</v>
      </c>
      <c r="AA23" s="106">
        <v>0</v>
      </c>
      <c r="AB23" s="106">
        <v>0</v>
      </c>
      <c r="AC23" s="106">
        <v>0</v>
      </c>
      <c r="AD23" s="106">
        <v>0</v>
      </c>
      <c r="AE23" s="106">
        <v>0</v>
      </c>
      <c r="AF23" s="106">
        <v>0</v>
      </c>
      <c r="AG23" s="106">
        <v>0</v>
      </c>
      <c r="AH23" s="106">
        <v>0</v>
      </c>
      <c r="AI23" s="106">
        <v>0</v>
      </c>
      <c r="AJ23" s="106">
        <v>0</v>
      </c>
      <c r="AK23" s="106">
        <v>0</v>
      </c>
    </row>
    <row r="24" spans="1:37" x14ac:dyDescent="0.25">
      <c r="A24" s="104" t="s">
        <v>77</v>
      </c>
      <c r="B24" s="104" t="s">
        <v>49</v>
      </c>
      <c r="C24" s="107">
        <v>0</v>
      </c>
      <c r="D24" s="107">
        <v>0</v>
      </c>
      <c r="E24" s="107">
        <v>0</v>
      </c>
      <c r="F24" s="107">
        <v>0</v>
      </c>
      <c r="G24" s="107">
        <v>0</v>
      </c>
      <c r="H24" s="107">
        <v>0</v>
      </c>
      <c r="I24" s="107">
        <v>0</v>
      </c>
      <c r="J24" s="107">
        <v>0</v>
      </c>
      <c r="K24" s="107">
        <v>0</v>
      </c>
      <c r="L24" s="107">
        <v>0</v>
      </c>
      <c r="M24" s="107">
        <v>0</v>
      </c>
      <c r="N24" s="107">
        <v>0</v>
      </c>
      <c r="O24" s="107">
        <v>0</v>
      </c>
      <c r="P24" s="107">
        <v>0</v>
      </c>
      <c r="Q24" s="107">
        <v>0</v>
      </c>
      <c r="R24" s="107">
        <v>0</v>
      </c>
      <c r="S24" s="107">
        <v>0</v>
      </c>
      <c r="T24" s="107">
        <v>0</v>
      </c>
      <c r="U24" s="107">
        <v>0</v>
      </c>
      <c r="V24" s="107">
        <v>0</v>
      </c>
      <c r="W24" s="107">
        <v>0</v>
      </c>
      <c r="X24" s="107">
        <v>0</v>
      </c>
      <c r="Y24" s="107">
        <v>0</v>
      </c>
      <c r="Z24" s="107">
        <v>0</v>
      </c>
      <c r="AA24" s="107">
        <v>0</v>
      </c>
      <c r="AB24" s="107">
        <v>0</v>
      </c>
      <c r="AC24" s="107">
        <v>0</v>
      </c>
      <c r="AD24" s="107">
        <v>0</v>
      </c>
      <c r="AE24" s="107">
        <v>0</v>
      </c>
      <c r="AF24" s="107">
        <v>0</v>
      </c>
      <c r="AG24" s="107">
        <v>0</v>
      </c>
      <c r="AH24" s="107">
        <v>0</v>
      </c>
      <c r="AI24" s="107">
        <v>0</v>
      </c>
      <c r="AJ24" s="107">
        <v>0</v>
      </c>
      <c r="AK24" s="107">
        <v>0</v>
      </c>
    </row>
    <row r="25" spans="1:37" x14ac:dyDescent="0.25">
      <c r="A25" s="104" t="s">
        <v>77</v>
      </c>
      <c r="B25" s="104" t="s">
        <v>50</v>
      </c>
      <c r="C25" s="106">
        <v>0</v>
      </c>
      <c r="D25" s="106">
        <v>0</v>
      </c>
      <c r="E25" s="106">
        <v>0</v>
      </c>
      <c r="F25" s="106">
        <v>0</v>
      </c>
      <c r="G25" s="106">
        <v>0</v>
      </c>
      <c r="H25" s="106">
        <v>0</v>
      </c>
      <c r="I25" s="106">
        <v>0</v>
      </c>
      <c r="J25" s="106">
        <v>0</v>
      </c>
      <c r="K25" s="106">
        <v>0</v>
      </c>
      <c r="L25" s="106">
        <v>0</v>
      </c>
      <c r="M25" s="106">
        <v>0</v>
      </c>
      <c r="N25" s="106">
        <v>0</v>
      </c>
      <c r="O25" s="106">
        <v>0</v>
      </c>
      <c r="P25" s="106">
        <v>0</v>
      </c>
      <c r="Q25" s="106">
        <v>0</v>
      </c>
      <c r="R25" s="106">
        <v>0</v>
      </c>
      <c r="S25" s="106">
        <v>0</v>
      </c>
      <c r="T25" s="106">
        <v>0</v>
      </c>
      <c r="U25" s="106">
        <v>0</v>
      </c>
      <c r="V25" s="106">
        <v>0</v>
      </c>
      <c r="W25" s="106">
        <v>0</v>
      </c>
      <c r="X25" s="106">
        <v>0</v>
      </c>
      <c r="Y25" s="106">
        <v>0</v>
      </c>
      <c r="Z25" s="106">
        <v>0</v>
      </c>
      <c r="AA25" s="106">
        <v>0</v>
      </c>
      <c r="AB25" s="106">
        <v>0</v>
      </c>
      <c r="AC25" s="106">
        <v>0</v>
      </c>
      <c r="AD25" s="106">
        <v>0</v>
      </c>
      <c r="AE25" s="106">
        <v>0</v>
      </c>
      <c r="AF25" s="106">
        <v>0</v>
      </c>
      <c r="AG25" s="106">
        <v>0</v>
      </c>
      <c r="AH25" s="106">
        <v>0</v>
      </c>
      <c r="AI25" s="106">
        <v>0</v>
      </c>
      <c r="AJ25" s="106">
        <v>0</v>
      </c>
      <c r="AK25" s="106">
        <v>0</v>
      </c>
    </row>
    <row r="26" spans="1:37" x14ac:dyDescent="0.25">
      <c r="A26" s="104" t="s">
        <v>77</v>
      </c>
      <c r="B26" s="104" t="s">
        <v>51</v>
      </c>
      <c r="C26" s="107">
        <v>0</v>
      </c>
      <c r="D26" s="107">
        <v>0</v>
      </c>
      <c r="E26" s="107">
        <v>-1</v>
      </c>
      <c r="F26" s="107">
        <v>2</v>
      </c>
      <c r="G26" s="107">
        <v>0</v>
      </c>
      <c r="H26" s="107">
        <v>0</v>
      </c>
      <c r="I26" s="107">
        <v>0</v>
      </c>
      <c r="J26" s="107">
        <v>0</v>
      </c>
      <c r="K26" s="107">
        <v>0</v>
      </c>
      <c r="L26" s="107">
        <v>0</v>
      </c>
      <c r="M26" s="107">
        <v>0</v>
      </c>
      <c r="N26" s="107">
        <v>0</v>
      </c>
      <c r="O26" s="107">
        <v>0</v>
      </c>
      <c r="P26" s="107">
        <v>0</v>
      </c>
      <c r="Q26" s="107">
        <v>0</v>
      </c>
      <c r="R26" s="107">
        <v>0</v>
      </c>
      <c r="S26" s="107">
        <v>0</v>
      </c>
      <c r="T26" s="107">
        <v>0</v>
      </c>
      <c r="U26" s="107">
        <v>0</v>
      </c>
      <c r="V26" s="107">
        <v>0</v>
      </c>
      <c r="W26" s="107">
        <v>0</v>
      </c>
      <c r="X26" s="107">
        <v>0</v>
      </c>
      <c r="Y26" s="107">
        <v>0</v>
      </c>
      <c r="Z26" s="107">
        <v>0</v>
      </c>
      <c r="AA26" s="107">
        <v>0</v>
      </c>
      <c r="AB26" s="107">
        <v>0</v>
      </c>
      <c r="AC26" s="107">
        <v>0</v>
      </c>
      <c r="AD26" s="107">
        <v>0</v>
      </c>
      <c r="AE26" s="107">
        <v>0</v>
      </c>
      <c r="AF26" s="107">
        <v>0</v>
      </c>
      <c r="AG26" s="107">
        <v>0</v>
      </c>
      <c r="AH26" s="107">
        <v>0</v>
      </c>
      <c r="AI26" s="107">
        <v>0</v>
      </c>
      <c r="AJ26" s="107">
        <v>0</v>
      </c>
      <c r="AK26" s="107">
        <v>0</v>
      </c>
    </row>
    <row r="27" spans="1:37" x14ac:dyDescent="0.25">
      <c r="A27" s="104" t="s">
        <v>77</v>
      </c>
      <c r="B27" s="104" t="s">
        <v>52</v>
      </c>
      <c r="C27" s="106">
        <v>0</v>
      </c>
      <c r="D27" s="106">
        <v>0</v>
      </c>
      <c r="E27" s="106">
        <v>0</v>
      </c>
      <c r="F27" s="106">
        <v>0</v>
      </c>
      <c r="G27" s="106">
        <v>0</v>
      </c>
      <c r="H27" s="106">
        <v>0</v>
      </c>
      <c r="I27" s="106">
        <v>0</v>
      </c>
      <c r="J27" s="106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0</v>
      </c>
      <c r="Q27" s="106">
        <v>0</v>
      </c>
      <c r="R27" s="106">
        <v>0</v>
      </c>
      <c r="S27" s="106">
        <v>0</v>
      </c>
      <c r="T27" s="106">
        <v>0</v>
      </c>
      <c r="U27" s="106">
        <v>0</v>
      </c>
      <c r="V27" s="106">
        <v>0</v>
      </c>
      <c r="W27" s="106">
        <v>0</v>
      </c>
      <c r="X27" s="106">
        <v>0</v>
      </c>
      <c r="Y27" s="106">
        <v>0</v>
      </c>
      <c r="Z27" s="106">
        <v>0</v>
      </c>
      <c r="AA27" s="106">
        <v>0</v>
      </c>
      <c r="AB27" s="106">
        <v>0</v>
      </c>
      <c r="AC27" s="106">
        <v>0</v>
      </c>
      <c r="AD27" s="106">
        <v>0</v>
      </c>
      <c r="AE27" s="106">
        <v>0</v>
      </c>
      <c r="AF27" s="106">
        <v>0</v>
      </c>
      <c r="AG27" s="106">
        <v>0</v>
      </c>
      <c r="AH27" s="106">
        <v>0</v>
      </c>
      <c r="AI27" s="106">
        <v>0</v>
      </c>
      <c r="AJ27" s="106">
        <v>0</v>
      </c>
      <c r="AK27" s="110" t="s">
        <v>255</v>
      </c>
    </row>
    <row r="28" spans="1:37" x14ac:dyDescent="0.25">
      <c r="A28" s="104" t="s">
        <v>77</v>
      </c>
      <c r="B28" s="104" t="s">
        <v>53</v>
      </c>
      <c r="C28" s="107">
        <v>628266</v>
      </c>
      <c r="D28" s="108">
        <v>547203.28200000001</v>
      </c>
      <c r="E28" s="108">
        <v>515892.71799999999</v>
      </c>
      <c r="F28" s="108">
        <v>477384.826</v>
      </c>
      <c r="G28" s="108">
        <v>471222.01699999999</v>
      </c>
      <c r="H28" s="108">
        <v>464064.67099999997</v>
      </c>
      <c r="I28" s="108">
        <v>447815.12800000003</v>
      </c>
      <c r="J28" s="108">
        <v>444540.02399999998</v>
      </c>
      <c r="K28" s="108">
        <v>438591.29399999999</v>
      </c>
      <c r="L28" s="108">
        <v>373395.16499999998</v>
      </c>
      <c r="M28" s="107">
        <v>387370.82</v>
      </c>
      <c r="N28" s="108">
        <v>352464.99599999998</v>
      </c>
      <c r="O28" s="108">
        <v>343092.51400000002</v>
      </c>
      <c r="P28" s="108">
        <v>348306.10200000001</v>
      </c>
      <c r="Q28" s="108">
        <v>349586.57900000003</v>
      </c>
      <c r="R28" s="107">
        <v>333940.32</v>
      </c>
      <c r="S28" s="108">
        <v>353439.446</v>
      </c>
      <c r="T28" s="108">
        <v>362016.32500000001</v>
      </c>
      <c r="U28" s="108">
        <v>347307.886</v>
      </c>
      <c r="V28" s="108">
        <v>261791.03200000001</v>
      </c>
      <c r="W28" s="108">
        <v>316420.13500000001</v>
      </c>
      <c r="X28" s="108">
        <v>312988.43300000002</v>
      </c>
      <c r="Y28" s="108">
        <v>313280.467</v>
      </c>
      <c r="Z28" s="108">
        <v>307167.28200000001</v>
      </c>
      <c r="AA28" s="108">
        <v>308776.00900000002</v>
      </c>
      <c r="AB28" s="108">
        <v>315677.81300000002</v>
      </c>
      <c r="AC28" s="108">
        <v>312051.973</v>
      </c>
      <c r="AD28" s="108">
        <v>308086.26400000002</v>
      </c>
      <c r="AE28" s="108">
        <v>277101.80099999998</v>
      </c>
      <c r="AF28" s="108">
        <v>266599.745</v>
      </c>
      <c r="AG28" s="108">
        <v>242473.139</v>
      </c>
      <c r="AH28" s="108">
        <v>263411.61200000002</v>
      </c>
      <c r="AI28" s="108">
        <v>247161.212</v>
      </c>
      <c r="AJ28" s="108">
        <v>242472.69500000001</v>
      </c>
      <c r="AK28" s="108">
        <v>216582.63800000001</v>
      </c>
    </row>
    <row r="29" spans="1:37" x14ac:dyDescent="0.25">
      <c r="A29" s="104" t="s">
        <v>78</v>
      </c>
      <c r="B29" s="104" t="s">
        <v>47</v>
      </c>
      <c r="C29" s="105">
        <v>132889.73499999999</v>
      </c>
      <c r="D29" s="105">
        <v>127251.77499999999</v>
      </c>
      <c r="E29" s="105">
        <v>95500.582999999999</v>
      </c>
      <c r="F29" s="105">
        <v>64669.898999999998</v>
      </c>
      <c r="G29" s="105">
        <v>39401.158000000003</v>
      </c>
      <c r="H29" s="105">
        <v>26495.525000000001</v>
      </c>
      <c r="I29" s="105">
        <v>20818.183000000001</v>
      </c>
      <c r="J29" s="105">
        <v>18980.401000000002</v>
      </c>
      <c r="K29" s="105">
        <v>15954.111000000001</v>
      </c>
      <c r="L29" s="105">
        <v>14842.049000000001</v>
      </c>
      <c r="M29" s="105">
        <v>16620.892</v>
      </c>
      <c r="N29" s="105">
        <v>16570.914000000001</v>
      </c>
      <c r="O29" s="105">
        <v>16973.323</v>
      </c>
      <c r="P29" s="105">
        <v>17887.998</v>
      </c>
      <c r="Q29" s="105">
        <v>17659.275000000001</v>
      </c>
      <c r="R29" s="105">
        <v>18637.814999999999</v>
      </c>
      <c r="S29" s="105">
        <v>19596.088</v>
      </c>
      <c r="T29" s="105">
        <v>19114.261999999999</v>
      </c>
      <c r="U29" s="105">
        <v>21077.032999999999</v>
      </c>
      <c r="V29" s="105">
        <v>20694.579000000002</v>
      </c>
      <c r="W29" s="105">
        <v>21237.769</v>
      </c>
      <c r="X29" s="105">
        <v>21397.123</v>
      </c>
      <c r="Y29" s="105">
        <v>20421.595000000001</v>
      </c>
      <c r="Z29" s="105">
        <v>19804.011999999999</v>
      </c>
      <c r="AA29" s="105">
        <v>20473.206999999999</v>
      </c>
      <c r="AB29" s="105">
        <v>20390.403999999999</v>
      </c>
      <c r="AC29" s="105">
        <v>18323.190999999999</v>
      </c>
      <c r="AD29" s="105">
        <v>17333.298999999999</v>
      </c>
      <c r="AE29" s="105">
        <v>17159.383000000002</v>
      </c>
      <c r="AF29" s="105">
        <v>15917.089</v>
      </c>
      <c r="AG29" s="106">
        <v>11968.83</v>
      </c>
      <c r="AH29" s="105">
        <v>2646.4560000000001</v>
      </c>
      <c r="AI29" s="105">
        <v>2638.0070000000001</v>
      </c>
      <c r="AJ29" s="105">
        <v>2580.2040000000002</v>
      </c>
      <c r="AK29" s="106">
        <v>0</v>
      </c>
    </row>
    <row r="30" spans="1:37" x14ac:dyDescent="0.25">
      <c r="A30" s="104" t="s">
        <v>78</v>
      </c>
      <c r="B30" s="104" t="s">
        <v>48</v>
      </c>
      <c r="C30" s="107">
        <v>49183</v>
      </c>
      <c r="D30" s="107">
        <v>30361</v>
      </c>
      <c r="E30" s="107">
        <v>26522</v>
      </c>
      <c r="F30" s="107">
        <v>25994</v>
      </c>
      <c r="G30" s="107">
        <v>21881</v>
      </c>
      <c r="H30" s="107">
        <v>20620</v>
      </c>
      <c r="I30" s="107">
        <v>19058</v>
      </c>
      <c r="J30" s="107">
        <v>8739</v>
      </c>
      <c r="K30" s="107">
        <v>9337</v>
      </c>
      <c r="L30" s="107">
        <v>8891</v>
      </c>
      <c r="M30" s="107">
        <v>9456</v>
      </c>
      <c r="N30" s="107">
        <v>4795</v>
      </c>
      <c r="O30" s="107">
        <v>4394</v>
      </c>
      <c r="P30" s="107">
        <v>4158</v>
      </c>
      <c r="Q30" s="107">
        <v>3945</v>
      </c>
      <c r="R30" s="107">
        <v>4073</v>
      </c>
      <c r="S30" s="107">
        <v>3850</v>
      </c>
      <c r="T30" s="107">
        <v>3244</v>
      </c>
      <c r="U30" s="107">
        <v>3285</v>
      </c>
      <c r="V30" s="107">
        <v>2900</v>
      </c>
      <c r="W30" s="107">
        <v>2506</v>
      </c>
      <c r="X30" s="107">
        <v>252</v>
      </c>
      <c r="Y30" s="107">
        <v>146</v>
      </c>
      <c r="Z30" s="107">
        <v>99</v>
      </c>
      <c r="AA30" s="107">
        <v>58</v>
      </c>
      <c r="AB30" s="107">
        <v>15</v>
      </c>
      <c r="AC30" s="107">
        <v>14</v>
      </c>
      <c r="AD30" s="107">
        <v>0</v>
      </c>
      <c r="AE30" s="107">
        <v>0</v>
      </c>
      <c r="AF30" s="107">
        <v>0</v>
      </c>
      <c r="AG30" s="107">
        <v>0</v>
      </c>
      <c r="AH30" s="107">
        <v>0</v>
      </c>
      <c r="AI30" s="107">
        <v>0</v>
      </c>
      <c r="AJ30" s="107">
        <v>0</v>
      </c>
      <c r="AK30" s="107">
        <v>0</v>
      </c>
    </row>
    <row r="31" spans="1:37" x14ac:dyDescent="0.25">
      <c r="A31" s="104" t="s">
        <v>78</v>
      </c>
      <c r="B31" s="104" t="s">
        <v>49</v>
      </c>
      <c r="C31" s="106">
        <v>207</v>
      </c>
      <c r="D31" s="106">
        <v>213</v>
      </c>
      <c r="E31" s="106">
        <v>204</v>
      </c>
      <c r="F31" s="106">
        <v>183</v>
      </c>
      <c r="G31" s="106">
        <v>75</v>
      </c>
      <c r="H31" s="106">
        <v>0</v>
      </c>
      <c r="I31" s="106">
        <v>0</v>
      </c>
      <c r="J31" s="106">
        <v>0</v>
      </c>
      <c r="K31" s="106">
        <v>0</v>
      </c>
      <c r="L31" s="106">
        <v>0</v>
      </c>
      <c r="M31" s="106">
        <v>0</v>
      </c>
      <c r="N31" s="106">
        <v>0</v>
      </c>
      <c r="O31" s="106">
        <v>0</v>
      </c>
      <c r="P31" s="106">
        <v>0</v>
      </c>
      <c r="Q31" s="106">
        <v>0</v>
      </c>
      <c r="R31" s="106">
        <v>0</v>
      </c>
      <c r="S31" s="106">
        <v>0</v>
      </c>
      <c r="T31" s="106">
        <v>0</v>
      </c>
      <c r="U31" s="106">
        <v>0</v>
      </c>
      <c r="V31" s="106">
        <v>0</v>
      </c>
      <c r="W31" s="106">
        <v>0</v>
      </c>
      <c r="X31" s="106">
        <v>0</v>
      </c>
      <c r="Y31" s="106">
        <v>0</v>
      </c>
      <c r="Z31" s="106">
        <v>0</v>
      </c>
      <c r="AA31" s="106">
        <v>0</v>
      </c>
      <c r="AB31" s="106">
        <v>0</v>
      </c>
      <c r="AC31" s="106">
        <v>0</v>
      </c>
      <c r="AD31" s="106">
        <v>0</v>
      </c>
      <c r="AE31" s="106">
        <v>0</v>
      </c>
      <c r="AF31" s="106">
        <v>0</v>
      </c>
      <c r="AG31" s="106">
        <v>0</v>
      </c>
      <c r="AH31" s="106">
        <v>0</v>
      </c>
      <c r="AI31" s="106">
        <v>0</v>
      </c>
      <c r="AJ31" s="106">
        <v>0</v>
      </c>
      <c r="AK31" s="106">
        <v>0</v>
      </c>
    </row>
    <row r="32" spans="1:37" x14ac:dyDescent="0.25">
      <c r="A32" s="104" t="s">
        <v>78</v>
      </c>
      <c r="B32" s="104" t="s">
        <v>50</v>
      </c>
      <c r="C32" s="107">
        <v>212</v>
      </c>
      <c r="D32" s="107">
        <v>216</v>
      </c>
      <c r="E32" s="107">
        <v>198</v>
      </c>
      <c r="F32" s="107">
        <v>180</v>
      </c>
      <c r="G32" s="107">
        <v>0</v>
      </c>
      <c r="H32" s="107">
        <v>0</v>
      </c>
      <c r="I32" s="107">
        <v>0</v>
      </c>
      <c r="J32" s="107">
        <v>0</v>
      </c>
      <c r="K32" s="107">
        <v>0</v>
      </c>
      <c r="L32" s="107">
        <v>0</v>
      </c>
      <c r="M32" s="107">
        <v>0</v>
      </c>
      <c r="N32" s="107">
        <v>0</v>
      </c>
      <c r="O32" s="107">
        <v>0</v>
      </c>
      <c r="P32" s="107">
        <v>0</v>
      </c>
      <c r="Q32" s="107">
        <v>0</v>
      </c>
      <c r="R32" s="107">
        <v>0</v>
      </c>
      <c r="S32" s="107">
        <v>0</v>
      </c>
      <c r="T32" s="107">
        <v>0</v>
      </c>
      <c r="U32" s="107">
        <v>0</v>
      </c>
      <c r="V32" s="107">
        <v>0</v>
      </c>
      <c r="W32" s="107">
        <v>0</v>
      </c>
      <c r="X32" s="107">
        <v>0</v>
      </c>
      <c r="Y32" s="107">
        <v>0</v>
      </c>
      <c r="Z32" s="107">
        <v>0</v>
      </c>
      <c r="AA32" s="107">
        <v>0</v>
      </c>
      <c r="AB32" s="107">
        <v>0</v>
      </c>
      <c r="AC32" s="107">
        <v>0</v>
      </c>
      <c r="AD32" s="107">
        <v>0</v>
      </c>
      <c r="AE32" s="107">
        <v>0</v>
      </c>
      <c r="AF32" s="107">
        <v>0</v>
      </c>
      <c r="AG32" s="107">
        <v>0</v>
      </c>
      <c r="AH32" s="107">
        <v>0</v>
      </c>
      <c r="AI32" s="107">
        <v>0</v>
      </c>
      <c r="AJ32" s="107">
        <v>0</v>
      </c>
      <c r="AK32" s="107">
        <v>0</v>
      </c>
    </row>
    <row r="33" spans="1:37" x14ac:dyDescent="0.25">
      <c r="A33" s="104" t="s">
        <v>78</v>
      </c>
      <c r="B33" s="104" t="s">
        <v>51</v>
      </c>
      <c r="C33" s="106">
        <v>1794</v>
      </c>
      <c r="D33" s="106">
        <v>1602</v>
      </c>
      <c r="E33" s="106">
        <v>3564</v>
      </c>
      <c r="F33" s="106">
        <v>2484</v>
      </c>
      <c r="G33" s="106">
        <v>0</v>
      </c>
      <c r="H33" s="106">
        <v>0</v>
      </c>
      <c r="I33" s="106">
        <v>2</v>
      </c>
      <c r="J33" s="106">
        <v>0</v>
      </c>
      <c r="K33" s="106">
        <v>0</v>
      </c>
      <c r="L33" s="106">
        <v>0</v>
      </c>
      <c r="M33" s="106">
        <v>0</v>
      </c>
      <c r="N33" s="106">
        <v>0</v>
      </c>
      <c r="O33" s="106">
        <v>0</v>
      </c>
      <c r="P33" s="106">
        <v>0</v>
      </c>
      <c r="Q33" s="106">
        <v>0</v>
      </c>
      <c r="R33" s="106">
        <v>0</v>
      </c>
      <c r="S33" s="106">
        <v>0</v>
      </c>
      <c r="T33" s="106">
        <v>0</v>
      </c>
      <c r="U33" s="106">
        <v>0</v>
      </c>
      <c r="V33" s="106">
        <v>0</v>
      </c>
      <c r="W33" s="106">
        <v>0</v>
      </c>
      <c r="X33" s="106">
        <v>0</v>
      </c>
      <c r="Y33" s="106">
        <v>0</v>
      </c>
      <c r="Z33" s="106">
        <v>0</v>
      </c>
      <c r="AA33" s="106">
        <v>0</v>
      </c>
      <c r="AB33" s="106">
        <v>0</v>
      </c>
      <c r="AC33" s="106">
        <v>0</v>
      </c>
      <c r="AD33" s="106">
        <v>0</v>
      </c>
      <c r="AE33" s="106">
        <v>0</v>
      </c>
      <c r="AF33" s="106">
        <v>0</v>
      </c>
      <c r="AG33" s="106">
        <v>0</v>
      </c>
      <c r="AH33" s="106">
        <v>0</v>
      </c>
      <c r="AI33" s="106">
        <v>0</v>
      </c>
      <c r="AJ33" s="106">
        <v>0</v>
      </c>
      <c r="AK33" s="106">
        <v>0</v>
      </c>
    </row>
    <row r="34" spans="1:37" x14ac:dyDescent="0.25">
      <c r="A34" s="104" t="s">
        <v>78</v>
      </c>
      <c r="B34" s="104" t="s">
        <v>52</v>
      </c>
      <c r="C34" s="107">
        <v>0</v>
      </c>
      <c r="D34" s="107">
        <v>0</v>
      </c>
      <c r="E34" s="107">
        <v>0</v>
      </c>
      <c r="F34" s="107">
        <v>0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  <c r="L34" s="107">
        <v>0</v>
      </c>
      <c r="M34" s="107">
        <v>0</v>
      </c>
      <c r="N34" s="107">
        <v>0</v>
      </c>
      <c r="O34" s="107">
        <v>0</v>
      </c>
      <c r="P34" s="107">
        <v>0</v>
      </c>
      <c r="Q34" s="107">
        <v>0</v>
      </c>
      <c r="R34" s="107">
        <v>0</v>
      </c>
      <c r="S34" s="107">
        <v>0</v>
      </c>
      <c r="T34" s="107">
        <v>0</v>
      </c>
      <c r="U34" s="107">
        <v>0</v>
      </c>
      <c r="V34" s="107">
        <v>0</v>
      </c>
      <c r="W34" s="107">
        <v>0</v>
      </c>
      <c r="X34" s="107">
        <v>0</v>
      </c>
      <c r="Y34" s="107">
        <v>0</v>
      </c>
      <c r="Z34" s="107">
        <v>0</v>
      </c>
      <c r="AA34" s="107">
        <v>0</v>
      </c>
      <c r="AB34" s="107">
        <v>0</v>
      </c>
      <c r="AC34" s="107">
        <v>0</v>
      </c>
      <c r="AD34" s="107">
        <v>0</v>
      </c>
      <c r="AE34" s="107">
        <v>0</v>
      </c>
      <c r="AF34" s="107">
        <v>0</v>
      </c>
      <c r="AG34" s="107">
        <v>0</v>
      </c>
      <c r="AH34" s="107">
        <v>0</v>
      </c>
      <c r="AI34" s="107">
        <v>0</v>
      </c>
      <c r="AJ34" s="107">
        <v>0</v>
      </c>
      <c r="AK34" s="109" t="s">
        <v>255</v>
      </c>
    </row>
    <row r="35" spans="1:37" x14ac:dyDescent="0.25">
      <c r="A35" s="104" t="s">
        <v>78</v>
      </c>
      <c r="B35" s="104" t="s">
        <v>53</v>
      </c>
      <c r="C35" s="105">
        <v>183861.73499999999</v>
      </c>
      <c r="D35" s="105">
        <v>159211.77499999999</v>
      </c>
      <c r="E35" s="105">
        <v>125592.583</v>
      </c>
      <c r="F35" s="105">
        <v>93150.899000000005</v>
      </c>
      <c r="G35" s="105">
        <v>61357.158000000003</v>
      </c>
      <c r="H35" s="105">
        <v>47115.525000000001</v>
      </c>
      <c r="I35" s="105">
        <v>39878.182999999997</v>
      </c>
      <c r="J35" s="105">
        <v>27719.401000000002</v>
      </c>
      <c r="K35" s="105">
        <v>25291.111000000001</v>
      </c>
      <c r="L35" s="105">
        <v>23733.048999999999</v>
      </c>
      <c r="M35" s="105">
        <v>26076.892</v>
      </c>
      <c r="N35" s="105">
        <v>21365.914000000001</v>
      </c>
      <c r="O35" s="105">
        <v>21367.323</v>
      </c>
      <c r="P35" s="105">
        <v>22045.998</v>
      </c>
      <c r="Q35" s="105">
        <v>21604.275000000001</v>
      </c>
      <c r="R35" s="105">
        <v>22710.814999999999</v>
      </c>
      <c r="S35" s="105">
        <v>23446.088</v>
      </c>
      <c r="T35" s="105">
        <v>22358.261999999999</v>
      </c>
      <c r="U35" s="105">
        <v>24362.032999999999</v>
      </c>
      <c r="V35" s="105">
        <v>23594.579000000002</v>
      </c>
      <c r="W35" s="105">
        <v>23743.769</v>
      </c>
      <c r="X35" s="105">
        <v>21649.123</v>
      </c>
      <c r="Y35" s="105">
        <v>20567.595000000001</v>
      </c>
      <c r="Z35" s="105">
        <v>19903.011999999999</v>
      </c>
      <c r="AA35" s="105">
        <v>20531.206999999999</v>
      </c>
      <c r="AB35" s="105">
        <v>20405.403999999999</v>
      </c>
      <c r="AC35" s="105">
        <v>18337.190999999999</v>
      </c>
      <c r="AD35" s="105">
        <v>17333.298999999999</v>
      </c>
      <c r="AE35" s="105">
        <v>17159.383000000002</v>
      </c>
      <c r="AF35" s="105">
        <v>15917.089</v>
      </c>
      <c r="AG35" s="106">
        <v>11968.83</v>
      </c>
      <c r="AH35" s="105">
        <v>2646.4560000000001</v>
      </c>
      <c r="AI35" s="105">
        <v>2638.0070000000001</v>
      </c>
      <c r="AJ35" s="105">
        <v>2580.2040000000002</v>
      </c>
      <c r="AK35" s="106">
        <v>0</v>
      </c>
    </row>
    <row r="36" spans="1:37" x14ac:dyDescent="0.25">
      <c r="A36" s="104" t="s">
        <v>79</v>
      </c>
      <c r="B36" s="104" t="s">
        <v>47</v>
      </c>
      <c r="C36" s="107">
        <v>648036</v>
      </c>
      <c r="D36" s="107">
        <v>592286</v>
      </c>
      <c r="E36" s="107">
        <v>551126</v>
      </c>
      <c r="F36" s="107">
        <v>545763</v>
      </c>
      <c r="G36" s="107">
        <v>580789</v>
      </c>
      <c r="H36" s="107">
        <v>575457</v>
      </c>
      <c r="I36" s="107">
        <v>542583</v>
      </c>
      <c r="J36" s="107">
        <v>562693</v>
      </c>
      <c r="K36" s="107">
        <v>549634</v>
      </c>
      <c r="L36" s="107">
        <v>506955</v>
      </c>
      <c r="M36" s="107">
        <v>538588</v>
      </c>
      <c r="N36" s="107">
        <v>509895</v>
      </c>
      <c r="O36" s="107">
        <v>521508</v>
      </c>
      <c r="P36" s="107">
        <v>529131</v>
      </c>
      <c r="Q36" s="107">
        <v>548060</v>
      </c>
      <c r="R36" s="108">
        <v>530551.17799999996</v>
      </c>
      <c r="S36" s="108">
        <v>546494.80500000005</v>
      </c>
      <c r="T36" s="108">
        <v>559327.03399999999</v>
      </c>
      <c r="U36" s="108">
        <v>522087.38900000002</v>
      </c>
      <c r="V36" s="108">
        <v>350800.663</v>
      </c>
      <c r="W36" s="108">
        <v>468295.90899999999</v>
      </c>
      <c r="X36" s="108">
        <v>453053.07400000002</v>
      </c>
      <c r="Y36" s="108">
        <v>443195.82699999999</v>
      </c>
      <c r="Z36" s="108">
        <v>441166.74900000001</v>
      </c>
      <c r="AA36" s="108">
        <v>452035.30200000003</v>
      </c>
      <c r="AB36" s="108">
        <v>443838.36200000002</v>
      </c>
      <c r="AC36" s="108">
        <v>435285.71399999998</v>
      </c>
      <c r="AD36" s="107">
        <v>449671.37</v>
      </c>
      <c r="AE36" s="107">
        <v>480690.03</v>
      </c>
      <c r="AF36" s="108">
        <v>451240.37199999997</v>
      </c>
      <c r="AG36" s="108">
        <v>376361.67700000003</v>
      </c>
      <c r="AH36" s="108">
        <v>441988.42099999997</v>
      </c>
      <c r="AI36" s="108">
        <v>400971.52299999999</v>
      </c>
      <c r="AJ36" s="108">
        <v>373319.18400000001</v>
      </c>
      <c r="AK36" s="108">
        <v>382849.98200000002</v>
      </c>
    </row>
    <row r="37" spans="1:37" x14ac:dyDescent="0.25">
      <c r="A37" s="104" t="s">
        <v>79</v>
      </c>
      <c r="B37" s="104" t="s">
        <v>48</v>
      </c>
      <c r="C37" s="106">
        <v>0</v>
      </c>
      <c r="D37" s="106">
        <v>0</v>
      </c>
      <c r="E37" s="106">
        <v>0</v>
      </c>
      <c r="F37" s="106">
        <v>0</v>
      </c>
      <c r="G37" s="106">
        <v>0</v>
      </c>
      <c r="H37" s="106">
        <v>0</v>
      </c>
      <c r="I37" s="106">
        <v>0</v>
      </c>
      <c r="J37" s="106">
        <v>0</v>
      </c>
      <c r="K37" s="106">
        <v>0</v>
      </c>
      <c r="L37" s="106">
        <v>0</v>
      </c>
      <c r="M37" s="106">
        <v>0</v>
      </c>
      <c r="N37" s="106">
        <v>0</v>
      </c>
      <c r="O37" s="106">
        <v>0</v>
      </c>
      <c r="P37" s="106">
        <v>0</v>
      </c>
      <c r="Q37" s="106">
        <v>996</v>
      </c>
      <c r="R37" s="106">
        <v>813</v>
      </c>
      <c r="S37" s="106">
        <v>643</v>
      </c>
      <c r="T37" s="106">
        <v>603</v>
      </c>
      <c r="U37" s="106">
        <v>514</v>
      </c>
      <c r="V37" s="106">
        <v>158</v>
      </c>
      <c r="W37" s="106">
        <v>598</v>
      </c>
      <c r="X37" s="106">
        <v>469</v>
      </c>
      <c r="Y37" s="106">
        <v>132</v>
      </c>
      <c r="Z37" s="106">
        <v>148</v>
      </c>
      <c r="AA37" s="106">
        <v>241</v>
      </c>
      <c r="AB37" s="106">
        <v>558</v>
      </c>
      <c r="AC37" s="106">
        <v>207</v>
      </c>
      <c r="AD37" s="106">
        <v>549</v>
      </c>
      <c r="AE37" s="106">
        <v>701</v>
      </c>
      <c r="AF37" s="106">
        <v>496</v>
      </c>
      <c r="AG37" s="106">
        <v>383</v>
      </c>
      <c r="AH37" s="106">
        <v>33</v>
      </c>
      <c r="AI37" s="106">
        <v>0</v>
      </c>
      <c r="AJ37" s="106">
        <v>28</v>
      </c>
      <c r="AK37" s="106">
        <v>0</v>
      </c>
    </row>
    <row r="38" spans="1:37" x14ac:dyDescent="0.25">
      <c r="A38" s="104" t="s">
        <v>79</v>
      </c>
      <c r="B38" s="104" t="s">
        <v>49</v>
      </c>
      <c r="C38" s="107">
        <v>0</v>
      </c>
      <c r="D38" s="107">
        <v>0</v>
      </c>
      <c r="E38" s="107">
        <v>0</v>
      </c>
      <c r="F38" s="107">
        <v>0</v>
      </c>
      <c r="G38" s="107">
        <v>0</v>
      </c>
      <c r="H38" s="107">
        <v>0</v>
      </c>
      <c r="I38" s="107">
        <v>0</v>
      </c>
      <c r="J38" s="107">
        <v>0</v>
      </c>
      <c r="K38" s="107">
        <v>0</v>
      </c>
      <c r="L38" s="107">
        <v>0</v>
      </c>
      <c r="M38" s="107">
        <v>0</v>
      </c>
      <c r="N38" s="107">
        <v>0</v>
      </c>
      <c r="O38" s="107">
        <v>0</v>
      </c>
      <c r="P38" s="107">
        <v>0</v>
      </c>
      <c r="Q38" s="107">
        <v>0</v>
      </c>
      <c r="R38" s="107">
        <v>0</v>
      </c>
      <c r="S38" s="107">
        <v>0</v>
      </c>
      <c r="T38" s="107">
        <v>0</v>
      </c>
      <c r="U38" s="107">
        <v>0</v>
      </c>
      <c r="V38" s="107">
        <v>0</v>
      </c>
      <c r="W38" s="107">
        <v>0</v>
      </c>
      <c r="X38" s="107">
        <v>0</v>
      </c>
      <c r="Y38" s="107">
        <v>0</v>
      </c>
      <c r="Z38" s="107">
        <v>0</v>
      </c>
      <c r="AA38" s="107">
        <v>0</v>
      </c>
      <c r="AB38" s="107">
        <v>0</v>
      </c>
      <c r="AC38" s="107">
        <v>0</v>
      </c>
      <c r="AD38" s="107">
        <v>0</v>
      </c>
      <c r="AE38" s="107">
        <v>0</v>
      </c>
      <c r="AF38" s="107">
        <v>0</v>
      </c>
      <c r="AG38" s="107">
        <v>0</v>
      </c>
      <c r="AH38" s="107">
        <v>0</v>
      </c>
      <c r="AI38" s="107">
        <v>0</v>
      </c>
      <c r="AJ38" s="107">
        <v>0</v>
      </c>
      <c r="AK38" s="107">
        <v>0</v>
      </c>
    </row>
    <row r="39" spans="1:37" x14ac:dyDescent="0.25">
      <c r="A39" s="104" t="s">
        <v>79</v>
      </c>
      <c r="B39" s="104" t="s">
        <v>50</v>
      </c>
      <c r="C39" s="106">
        <v>0</v>
      </c>
      <c r="D39" s="106">
        <v>0</v>
      </c>
      <c r="E39" s="106">
        <v>0</v>
      </c>
      <c r="F39" s="106">
        <v>0</v>
      </c>
      <c r="G39" s="106">
        <v>0</v>
      </c>
      <c r="H39" s="106">
        <v>0</v>
      </c>
      <c r="I39" s="106">
        <v>0</v>
      </c>
      <c r="J39" s="106">
        <v>0</v>
      </c>
      <c r="K39" s="106">
        <v>0</v>
      </c>
      <c r="L39" s="106">
        <v>0</v>
      </c>
      <c r="M39" s="106">
        <v>0</v>
      </c>
      <c r="N39" s="106">
        <v>0</v>
      </c>
      <c r="O39" s="106">
        <v>0</v>
      </c>
      <c r="P39" s="106">
        <v>0</v>
      </c>
      <c r="Q39" s="106">
        <v>0</v>
      </c>
      <c r="R39" s="106">
        <v>0</v>
      </c>
      <c r="S39" s="106">
        <v>0</v>
      </c>
      <c r="T39" s="106">
        <v>0</v>
      </c>
      <c r="U39" s="106">
        <v>0</v>
      </c>
      <c r="V39" s="106">
        <v>0</v>
      </c>
      <c r="W39" s="106">
        <v>0</v>
      </c>
      <c r="X39" s="106">
        <v>0</v>
      </c>
      <c r="Y39" s="106">
        <v>0</v>
      </c>
      <c r="Z39" s="106">
        <v>0</v>
      </c>
      <c r="AA39" s="106">
        <v>0</v>
      </c>
      <c r="AB39" s="106">
        <v>0</v>
      </c>
      <c r="AC39" s="106">
        <v>0</v>
      </c>
      <c r="AD39" s="106">
        <v>0</v>
      </c>
      <c r="AE39" s="106">
        <v>0</v>
      </c>
      <c r="AF39" s="106">
        <v>0</v>
      </c>
      <c r="AG39" s="106">
        <v>0</v>
      </c>
      <c r="AH39" s="106">
        <v>0</v>
      </c>
      <c r="AI39" s="106">
        <v>0</v>
      </c>
      <c r="AJ39" s="106">
        <v>0</v>
      </c>
      <c r="AK39" s="106">
        <v>0</v>
      </c>
    </row>
    <row r="40" spans="1:37" x14ac:dyDescent="0.25">
      <c r="A40" s="104" t="s">
        <v>79</v>
      </c>
      <c r="B40" s="104" t="s">
        <v>51</v>
      </c>
      <c r="C40" s="107">
        <v>0</v>
      </c>
      <c r="D40" s="107">
        <v>0</v>
      </c>
      <c r="E40" s="107">
        <v>0</v>
      </c>
      <c r="F40" s="107">
        <v>0</v>
      </c>
      <c r="G40" s="107">
        <v>0</v>
      </c>
      <c r="H40" s="107">
        <v>0</v>
      </c>
      <c r="I40" s="107">
        <v>0</v>
      </c>
      <c r="J40" s="107">
        <v>0</v>
      </c>
      <c r="K40" s="107">
        <v>0</v>
      </c>
      <c r="L40" s="107">
        <v>0</v>
      </c>
      <c r="M40" s="107">
        <v>0</v>
      </c>
      <c r="N40" s="107">
        <v>0</v>
      </c>
      <c r="O40" s="107">
        <v>0</v>
      </c>
      <c r="P40" s="107">
        <v>0</v>
      </c>
      <c r="Q40" s="107">
        <v>0</v>
      </c>
      <c r="R40" s="107">
        <v>0</v>
      </c>
      <c r="S40" s="107">
        <v>0</v>
      </c>
      <c r="T40" s="107">
        <v>0</v>
      </c>
      <c r="U40" s="107">
        <v>0</v>
      </c>
      <c r="V40" s="107">
        <v>0</v>
      </c>
      <c r="W40" s="107">
        <v>0</v>
      </c>
      <c r="X40" s="107">
        <v>0</v>
      </c>
      <c r="Y40" s="107">
        <v>0</v>
      </c>
      <c r="Z40" s="107">
        <v>0</v>
      </c>
      <c r="AA40" s="107">
        <v>0</v>
      </c>
      <c r="AB40" s="107">
        <v>0</v>
      </c>
      <c r="AC40" s="107">
        <v>0</v>
      </c>
      <c r="AD40" s="107">
        <v>0</v>
      </c>
      <c r="AE40" s="107">
        <v>0</v>
      </c>
      <c r="AF40" s="107">
        <v>0</v>
      </c>
      <c r="AG40" s="107">
        <v>0</v>
      </c>
      <c r="AH40" s="107">
        <v>0</v>
      </c>
      <c r="AI40" s="107">
        <v>0</v>
      </c>
      <c r="AJ40" s="107">
        <v>0</v>
      </c>
      <c r="AK40" s="107">
        <v>0</v>
      </c>
    </row>
    <row r="41" spans="1:37" x14ac:dyDescent="0.25">
      <c r="A41" s="104" t="s">
        <v>79</v>
      </c>
      <c r="B41" s="104" t="s">
        <v>52</v>
      </c>
      <c r="C41" s="106">
        <v>0</v>
      </c>
      <c r="D41" s="106">
        <v>0</v>
      </c>
      <c r="E41" s="106">
        <v>0</v>
      </c>
      <c r="F41" s="106">
        <v>0</v>
      </c>
      <c r="G41" s="106">
        <v>0</v>
      </c>
      <c r="H41" s="106">
        <v>0</v>
      </c>
      <c r="I41" s="106">
        <v>0</v>
      </c>
      <c r="J41" s="106">
        <v>0</v>
      </c>
      <c r="K41" s="106">
        <v>0</v>
      </c>
      <c r="L41" s="106">
        <v>0</v>
      </c>
      <c r="M41" s="106">
        <v>0</v>
      </c>
      <c r="N41" s="106">
        <v>0</v>
      </c>
      <c r="O41" s="106">
        <v>0</v>
      </c>
      <c r="P41" s="106">
        <v>0</v>
      </c>
      <c r="Q41" s="106">
        <v>0</v>
      </c>
      <c r="R41" s="106">
        <v>0</v>
      </c>
      <c r="S41" s="106">
        <v>0</v>
      </c>
      <c r="T41" s="106">
        <v>0</v>
      </c>
      <c r="U41" s="106">
        <v>0</v>
      </c>
      <c r="V41" s="106">
        <v>0</v>
      </c>
      <c r="W41" s="106">
        <v>0</v>
      </c>
      <c r="X41" s="106">
        <v>0</v>
      </c>
      <c r="Y41" s="106">
        <v>0</v>
      </c>
      <c r="Z41" s="106">
        <v>0</v>
      </c>
      <c r="AA41" s="106">
        <v>0</v>
      </c>
      <c r="AB41" s="106">
        <v>0</v>
      </c>
      <c r="AC41" s="106">
        <v>0</v>
      </c>
      <c r="AD41" s="106">
        <v>0</v>
      </c>
      <c r="AE41" s="106">
        <v>0</v>
      </c>
      <c r="AF41" s="106">
        <v>0</v>
      </c>
      <c r="AG41" s="106">
        <v>0</v>
      </c>
      <c r="AH41" s="106">
        <v>0</v>
      </c>
      <c r="AI41" s="106">
        <v>0</v>
      </c>
      <c r="AJ41" s="106">
        <v>0</v>
      </c>
      <c r="AK41" s="110" t="s">
        <v>255</v>
      </c>
    </row>
    <row r="42" spans="1:37" x14ac:dyDescent="0.25">
      <c r="A42" s="104" t="s">
        <v>79</v>
      </c>
      <c r="B42" s="104" t="s">
        <v>53</v>
      </c>
      <c r="C42" s="107">
        <v>648036</v>
      </c>
      <c r="D42" s="107">
        <v>592286</v>
      </c>
      <c r="E42" s="107">
        <v>551126</v>
      </c>
      <c r="F42" s="107">
        <v>545763</v>
      </c>
      <c r="G42" s="107">
        <v>580789</v>
      </c>
      <c r="H42" s="107">
        <v>575457</v>
      </c>
      <c r="I42" s="107">
        <v>542583</v>
      </c>
      <c r="J42" s="107">
        <v>562693</v>
      </c>
      <c r="K42" s="107">
        <v>549634</v>
      </c>
      <c r="L42" s="107">
        <v>506955</v>
      </c>
      <c r="M42" s="107">
        <v>538588</v>
      </c>
      <c r="N42" s="107">
        <v>509895</v>
      </c>
      <c r="O42" s="107">
        <v>521508</v>
      </c>
      <c r="P42" s="107">
        <v>529131</v>
      </c>
      <c r="Q42" s="107">
        <v>549056</v>
      </c>
      <c r="R42" s="108">
        <v>531364.17799999996</v>
      </c>
      <c r="S42" s="108">
        <v>547137.80500000005</v>
      </c>
      <c r="T42" s="108">
        <v>559930.03399999999</v>
      </c>
      <c r="U42" s="108">
        <v>522601.38900000002</v>
      </c>
      <c r="V42" s="108">
        <v>350958.663</v>
      </c>
      <c r="W42" s="108">
        <v>468893.90899999999</v>
      </c>
      <c r="X42" s="108">
        <v>453522.07400000002</v>
      </c>
      <c r="Y42" s="108">
        <v>443327.82699999999</v>
      </c>
      <c r="Z42" s="108">
        <v>441314.74900000001</v>
      </c>
      <c r="AA42" s="108">
        <v>452276.30200000003</v>
      </c>
      <c r="AB42" s="108">
        <v>444396.36200000002</v>
      </c>
      <c r="AC42" s="108">
        <v>435492.71399999998</v>
      </c>
      <c r="AD42" s="107">
        <v>450220.37</v>
      </c>
      <c r="AE42" s="107">
        <v>481391.03</v>
      </c>
      <c r="AF42" s="108">
        <v>451736.37199999997</v>
      </c>
      <c r="AG42" s="108">
        <v>376744.67700000003</v>
      </c>
      <c r="AH42" s="108">
        <v>442021.42099999997</v>
      </c>
      <c r="AI42" s="108">
        <v>400971.52299999999</v>
      </c>
      <c r="AJ42" s="108">
        <v>373347.18400000001</v>
      </c>
      <c r="AK42" s="108">
        <v>382849.98200000002</v>
      </c>
    </row>
    <row r="43" spans="1:37" x14ac:dyDescent="0.25">
      <c r="A43" s="104" t="s">
        <v>80</v>
      </c>
      <c r="B43" s="104" t="s">
        <v>47</v>
      </c>
      <c r="C43" s="106">
        <v>7443</v>
      </c>
      <c r="D43" s="106">
        <v>8096</v>
      </c>
      <c r="E43" s="106">
        <v>7378</v>
      </c>
      <c r="F43" s="106">
        <v>29857</v>
      </c>
      <c r="G43" s="106">
        <v>25717</v>
      </c>
      <c r="H43" s="106">
        <v>27359</v>
      </c>
      <c r="I43" s="106">
        <v>21146</v>
      </c>
      <c r="J43" s="106">
        <v>22258</v>
      </c>
      <c r="K43" s="106">
        <v>28520</v>
      </c>
      <c r="L43" s="106">
        <v>26698</v>
      </c>
      <c r="M43" s="106">
        <v>28145</v>
      </c>
      <c r="N43" s="106">
        <v>28133</v>
      </c>
      <c r="O43" s="106">
        <v>29621</v>
      </c>
      <c r="P43" s="106">
        <v>41367</v>
      </c>
      <c r="Q43" s="106">
        <v>44196</v>
      </c>
      <c r="R43" s="105">
        <v>45842.146999999997</v>
      </c>
      <c r="S43" s="105">
        <v>45401.720999999998</v>
      </c>
      <c r="T43" s="105">
        <v>46446.883000000002</v>
      </c>
      <c r="U43" s="105">
        <v>39240.438999999998</v>
      </c>
      <c r="V43" s="105">
        <v>32840.078999999998</v>
      </c>
      <c r="W43" s="105">
        <v>44869.572</v>
      </c>
      <c r="X43" s="105">
        <v>50152.161</v>
      </c>
      <c r="Y43" s="105">
        <v>50208.321000000004</v>
      </c>
      <c r="Z43" s="106">
        <v>51361.64</v>
      </c>
      <c r="AA43" s="105">
        <v>58924.947999999997</v>
      </c>
      <c r="AB43" s="105">
        <v>64226.044999999998</v>
      </c>
      <c r="AC43" s="106">
        <v>63369.25</v>
      </c>
      <c r="AD43" s="105">
        <v>63351.364000000001</v>
      </c>
      <c r="AE43" s="105">
        <v>53100.417000000001</v>
      </c>
      <c r="AF43" s="106">
        <v>52316.86</v>
      </c>
      <c r="AG43" s="105">
        <v>45066.936000000002</v>
      </c>
      <c r="AH43" s="105">
        <v>45692.292000000001</v>
      </c>
      <c r="AI43" s="105">
        <v>44827.114000000001</v>
      </c>
      <c r="AJ43" s="105">
        <v>41851.815000000002</v>
      </c>
      <c r="AK43" s="106">
        <v>41374.589999999997</v>
      </c>
    </row>
    <row r="44" spans="1:37" x14ac:dyDescent="0.25">
      <c r="A44" s="104" t="s">
        <v>80</v>
      </c>
      <c r="B44" s="104" t="s">
        <v>48</v>
      </c>
      <c r="C44" s="107">
        <v>0</v>
      </c>
      <c r="D44" s="107">
        <v>0</v>
      </c>
      <c r="E44" s="107">
        <v>0</v>
      </c>
      <c r="F44" s="107">
        <v>0</v>
      </c>
      <c r="G44" s="107">
        <v>0</v>
      </c>
      <c r="H44" s="107">
        <v>0</v>
      </c>
      <c r="I44" s="107">
        <v>0</v>
      </c>
      <c r="J44" s="107">
        <v>0</v>
      </c>
      <c r="K44" s="107">
        <v>0</v>
      </c>
      <c r="L44" s="107">
        <v>0</v>
      </c>
      <c r="M44" s="107">
        <v>0</v>
      </c>
      <c r="N44" s="107">
        <v>0</v>
      </c>
      <c r="O44" s="107">
        <v>0</v>
      </c>
      <c r="P44" s="107">
        <v>0</v>
      </c>
      <c r="Q44" s="107">
        <v>0</v>
      </c>
      <c r="R44" s="107">
        <v>0</v>
      </c>
      <c r="S44" s="107">
        <v>0</v>
      </c>
      <c r="T44" s="107">
        <v>0</v>
      </c>
      <c r="U44" s="107">
        <v>0</v>
      </c>
      <c r="V44" s="107">
        <v>0</v>
      </c>
      <c r="W44" s="107">
        <v>0</v>
      </c>
      <c r="X44" s="107">
        <v>0</v>
      </c>
      <c r="Y44" s="107">
        <v>0</v>
      </c>
      <c r="Z44" s="107">
        <v>0</v>
      </c>
      <c r="AA44" s="107">
        <v>0</v>
      </c>
      <c r="AB44" s="107">
        <v>0</v>
      </c>
      <c r="AC44" s="107">
        <v>0</v>
      </c>
      <c r="AD44" s="107">
        <v>0</v>
      </c>
      <c r="AE44" s="107">
        <v>0</v>
      </c>
      <c r="AF44" s="107">
        <v>0</v>
      </c>
      <c r="AG44" s="107">
        <v>0</v>
      </c>
      <c r="AH44" s="107">
        <v>0</v>
      </c>
      <c r="AI44" s="107">
        <v>0</v>
      </c>
      <c r="AJ44" s="107">
        <v>0</v>
      </c>
      <c r="AK44" s="107">
        <v>0</v>
      </c>
    </row>
    <row r="45" spans="1:37" x14ac:dyDescent="0.25">
      <c r="A45" s="104" t="s">
        <v>80</v>
      </c>
      <c r="B45" s="104" t="s">
        <v>49</v>
      </c>
      <c r="C45" s="106">
        <v>0</v>
      </c>
      <c r="D45" s="106">
        <v>0</v>
      </c>
      <c r="E45" s="106">
        <v>0</v>
      </c>
      <c r="F45" s="106">
        <v>0</v>
      </c>
      <c r="G45" s="106">
        <v>0</v>
      </c>
      <c r="H45" s="106">
        <v>0</v>
      </c>
      <c r="I45" s="106">
        <v>0</v>
      </c>
      <c r="J45" s="106">
        <v>0</v>
      </c>
      <c r="K45" s="106">
        <v>0</v>
      </c>
      <c r="L45" s="106">
        <v>0</v>
      </c>
      <c r="M45" s="106">
        <v>0</v>
      </c>
      <c r="N45" s="106">
        <v>0</v>
      </c>
      <c r="O45" s="106">
        <v>0</v>
      </c>
      <c r="P45" s="106">
        <v>0</v>
      </c>
      <c r="Q45" s="106">
        <v>0</v>
      </c>
      <c r="R45" s="106">
        <v>0</v>
      </c>
      <c r="S45" s="106">
        <v>0</v>
      </c>
      <c r="T45" s="106">
        <v>0</v>
      </c>
      <c r="U45" s="106">
        <v>0</v>
      </c>
      <c r="V45" s="106">
        <v>0</v>
      </c>
      <c r="W45" s="106">
        <v>0</v>
      </c>
      <c r="X45" s="106">
        <v>0</v>
      </c>
      <c r="Y45" s="106">
        <v>0</v>
      </c>
      <c r="Z45" s="106">
        <v>0</v>
      </c>
      <c r="AA45" s="106">
        <v>0</v>
      </c>
      <c r="AB45" s="106">
        <v>0</v>
      </c>
      <c r="AC45" s="106">
        <v>0</v>
      </c>
      <c r="AD45" s="106">
        <v>0</v>
      </c>
      <c r="AE45" s="106">
        <v>0</v>
      </c>
      <c r="AF45" s="106">
        <v>0</v>
      </c>
      <c r="AG45" s="106">
        <v>0</v>
      </c>
      <c r="AH45" s="106">
        <v>0</v>
      </c>
      <c r="AI45" s="106">
        <v>0</v>
      </c>
      <c r="AJ45" s="106">
        <v>0</v>
      </c>
      <c r="AK45" s="106">
        <v>0</v>
      </c>
    </row>
    <row r="46" spans="1:37" x14ac:dyDescent="0.25">
      <c r="A46" s="104" t="s">
        <v>80</v>
      </c>
      <c r="B46" s="104" t="s">
        <v>50</v>
      </c>
      <c r="C46" s="107">
        <v>0</v>
      </c>
      <c r="D46" s="107">
        <v>0</v>
      </c>
      <c r="E46" s="107">
        <v>0</v>
      </c>
      <c r="F46" s="107">
        <v>0</v>
      </c>
      <c r="G46" s="107">
        <v>0</v>
      </c>
      <c r="H46" s="107">
        <v>0</v>
      </c>
      <c r="I46" s="107">
        <v>0</v>
      </c>
      <c r="J46" s="107">
        <v>0</v>
      </c>
      <c r="K46" s="107">
        <v>0</v>
      </c>
      <c r="L46" s="107">
        <v>0</v>
      </c>
      <c r="M46" s="107">
        <v>0</v>
      </c>
      <c r="N46" s="107">
        <v>0</v>
      </c>
      <c r="O46" s="107">
        <v>0</v>
      </c>
      <c r="P46" s="107">
        <v>0</v>
      </c>
      <c r="Q46" s="107">
        <v>0</v>
      </c>
      <c r="R46" s="107">
        <v>0</v>
      </c>
      <c r="S46" s="107">
        <v>0</v>
      </c>
      <c r="T46" s="107">
        <v>0</v>
      </c>
      <c r="U46" s="107">
        <v>0</v>
      </c>
      <c r="V46" s="107">
        <v>0</v>
      </c>
      <c r="W46" s="107">
        <v>0</v>
      </c>
      <c r="X46" s="107">
        <v>0</v>
      </c>
      <c r="Y46" s="107">
        <v>0</v>
      </c>
      <c r="Z46" s="107">
        <v>0</v>
      </c>
      <c r="AA46" s="107">
        <v>0</v>
      </c>
      <c r="AB46" s="107">
        <v>0</v>
      </c>
      <c r="AC46" s="107">
        <v>0</v>
      </c>
      <c r="AD46" s="107">
        <v>0</v>
      </c>
      <c r="AE46" s="107">
        <v>0</v>
      </c>
      <c r="AF46" s="107">
        <v>0</v>
      </c>
      <c r="AG46" s="107">
        <v>0</v>
      </c>
      <c r="AH46" s="107">
        <v>0</v>
      </c>
      <c r="AI46" s="107">
        <v>0</v>
      </c>
      <c r="AJ46" s="107">
        <v>0</v>
      </c>
      <c r="AK46" s="107">
        <v>0</v>
      </c>
    </row>
    <row r="47" spans="1:37" x14ac:dyDescent="0.25">
      <c r="A47" s="104" t="s">
        <v>80</v>
      </c>
      <c r="B47" s="104" t="s">
        <v>51</v>
      </c>
      <c r="C47" s="106">
        <v>0</v>
      </c>
      <c r="D47" s="106">
        <v>0</v>
      </c>
      <c r="E47" s="106">
        <v>0</v>
      </c>
      <c r="F47" s="106">
        <v>0</v>
      </c>
      <c r="G47" s="106">
        <v>0</v>
      </c>
      <c r="H47" s="106">
        <v>0</v>
      </c>
      <c r="I47" s="106">
        <v>0</v>
      </c>
      <c r="J47" s="106">
        <v>0</v>
      </c>
      <c r="K47" s="106">
        <v>0</v>
      </c>
      <c r="L47" s="106">
        <v>0</v>
      </c>
      <c r="M47" s="106">
        <v>0</v>
      </c>
      <c r="N47" s="106">
        <v>0</v>
      </c>
      <c r="O47" s="106">
        <v>0</v>
      </c>
      <c r="P47" s="106">
        <v>0</v>
      </c>
      <c r="Q47" s="106">
        <v>0</v>
      </c>
      <c r="R47" s="106">
        <v>0</v>
      </c>
      <c r="S47" s="106">
        <v>0</v>
      </c>
      <c r="T47" s="106">
        <v>0</v>
      </c>
      <c r="U47" s="106">
        <v>0</v>
      </c>
      <c r="V47" s="106">
        <v>0</v>
      </c>
      <c r="W47" s="106">
        <v>0</v>
      </c>
      <c r="X47" s="106">
        <v>0</v>
      </c>
      <c r="Y47" s="106">
        <v>0</v>
      </c>
      <c r="Z47" s="106">
        <v>0</v>
      </c>
      <c r="AA47" s="106">
        <v>0</v>
      </c>
      <c r="AB47" s="106">
        <v>0</v>
      </c>
      <c r="AC47" s="106">
        <v>0</v>
      </c>
      <c r="AD47" s="106">
        <v>0</v>
      </c>
      <c r="AE47" s="106">
        <v>0</v>
      </c>
      <c r="AF47" s="106">
        <v>0</v>
      </c>
      <c r="AG47" s="106">
        <v>0</v>
      </c>
      <c r="AH47" s="106">
        <v>0</v>
      </c>
      <c r="AI47" s="106">
        <v>0</v>
      </c>
      <c r="AJ47" s="106">
        <v>0</v>
      </c>
      <c r="AK47" s="106">
        <v>0</v>
      </c>
    </row>
    <row r="48" spans="1:37" x14ac:dyDescent="0.25">
      <c r="A48" s="104" t="s">
        <v>80</v>
      </c>
      <c r="B48" s="104" t="s">
        <v>52</v>
      </c>
      <c r="C48" s="107">
        <v>0</v>
      </c>
      <c r="D48" s="107">
        <v>0</v>
      </c>
      <c r="E48" s="107">
        <v>0</v>
      </c>
      <c r="F48" s="107">
        <v>0</v>
      </c>
      <c r="G48" s="107">
        <v>0</v>
      </c>
      <c r="H48" s="107">
        <v>0</v>
      </c>
      <c r="I48" s="107">
        <v>0</v>
      </c>
      <c r="J48" s="107">
        <v>0</v>
      </c>
      <c r="K48" s="107">
        <v>0</v>
      </c>
      <c r="L48" s="107">
        <v>0</v>
      </c>
      <c r="M48" s="107">
        <v>0</v>
      </c>
      <c r="N48" s="107">
        <v>0</v>
      </c>
      <c r="O48" s="107">
        <v>0</v>
      </c>
      <c r="P48" s="107">
        <v>0</v>
      </c>
      <c r="Q48" s="107">
        <v>0</v>
      </c>
      <c r="R48" s="107">
        <v>0</v>
      </c>
      <c r="S48" s="107">
        <v>0</v>
      </c>
      <c r="T48" s="107">
        <v>0</v>
      </c>
      <c r="U48" s="107">
        <v>0</v>
      </c>
      <c r="V48" s="107">
        <v>0</v>
      </c>
      <c r="W48" s="107">
        <v>0</v>
      </c>
      <c r="X48" s="107">
        <v>0</v>
      </c>
      <c r="Y48" s="107">
        <v>0</v>
      </c>
      <c r="Z48" s="107">
        <v>0</v>
      </c>
      <c r="AA48" s="107">
        <v>0</v>
      </c>
      <c r="AB48" s="107">
        <v>0</v>
      </c>
      <c r="AC48" s="107">
        <v>0</v>
      </c>
      <c r="AD48" s="107">
        <v>0</v>
      </c>
      <c r="AE48" s="107">
        <v>0</v>
      </c>
      <c r="AF48" s="107">
        <v>0</v>
      </c>
      <c r="AG48" s="107">
        <v>0</v>
      </c>
      <c r="AH48" s="107">
        <v>0</v>
      </c>
      <c r="AI48" s="107">
        <v>0</v>
      </c>
      <c r="AJ48" s="107">
        <v>0</v>
      </c>
      <c r="AK48" s="109" t="s">
        <v>255</v>
      </c>
    </row>
    <row r="49" spans="1:37" x14ac:dyDescent="0.25">
      <c r="A49" s="104" t="s">
        <v>80</v>
      </c>
      <c r="B49" s="104" t="s">
        <v>53</v>
      </c>
      <c r="C49" s="106">
        <v>7443</v>
      </c>
      <c r="D49" s="106">
        <v>8096</v>
      </c>
      <c r="E49" s="106">
        <v>7378</v>
      </c>
      <c r="F49" s="106">
        <v>29857</v>
      </c>
      <c r="G49" s="106">
        <v>25717</v>
      </c>
      <c r="H49" s="106">
        <v>27359</v>
      </c>
      <c r="I49" s="106">
        <v>21146</v>
      </c>
      <c r="J49" s="106">
        <v>22258</v>
      </c>
      <c r="K49" s="106">
        <v>28520</v>
      </c>
      <c r="L49" s="106">
        <v>26698</v>
      </c>
      <c r="M49" s="106">
        <v>28145</v>
      </c>
      <c r="N49" s="106">
        <v>28133</v>
      </c>
      <c r="O49" s="106">
        <v>29621</v>
      </c>
      <c r="P49" s="106">
        <v>41367</v>
      </c>
      <c r="Q49" s="106">
        <v>44196</v>
      </c>
      <c r="R49" s="105">
        <v>45842.146999999997</v>
      </c>
      <c r="S49" s="105">
        <v>45401.720999999998</v>
      </c>
      <c r="T49" s="105">
        <v>46446.883000000002</v>
      </c>
      <c r="U49" s="105">
        <v>39240.438999999998</v>
      </c>
      <c r="V49" s="105">
        <v>32840.078999999998</v>
      </c>
      <c r="W49" s="105">
        <v>44869.572</v>
      </c>
      <c r="X49" s="105">
        <v>50152.161</v>
      </c>
      <c r="Y49" s="105">
        <v>50208.321000000004</v>
      </c>
      <c r="Z49" s="106">
        <v>51361.64</v>
      </c>
      <c r="AA49" s="105">
        <v>58924.947999999997</v>
      </c>
      <c r="AB49" s="105">
        <v>64226.044999999998</v>
      </c>
      <c r="AC49" s="106">
        <v>63369.25</v>
      </c>
      <c r="AD49" s="105">
        <v>63351.364000000001</v>
      </c>
      <c r="AE49" s="105">
        <v>53100.417000000001</v>
      </c>
      <c r="AF49" s="106">
        <v>52316.86</v>
      </c>
      <c r="AG49" s="105">
        <v>45066.936000000002</v>
      </c>
      <c r="AH49" s="105">
        <v>45692.292000000001</v>
      </c>
      <c r="AI49" s="105">
        <v>44827.114000000001</v>
      </c>
      <c r="AJ49" s="105">
        <v>41851.815000000002</v>
      </c>
      <c r="AK49" s="106">
        <v>41374.589999999997</v>
      </c>
    </row>
    <row r="50" spans="1:37" x14ac:dyDescent="0.25">
      <c r="A50" s="104" t="s">
        <v>81</v>
      </c>
      <c r="B50" s="104" t="s">
        <v>47</v>
      </c>
      <c r="C50" s="107">
        <v>5725098</v>
      </c>
      <c r="D50" s="107">
        <v>5979866</v>
      </c>
      <c r="E50" s="107">
        <v>5898039</v>
      </c>
      <c r="F50" s="107">
        <v>6029503</v>
      </c>
      <c r="G50" s="107">
        <v>5822606</v>
      </c>
      <c r="H50" s="107">
        <v>5920883</v>
      </c>
      <c r="I50" s="107">
        <v>6328682</v>
      </c>
      <c r="J50" s="107">
        <v>5846591</v>
      </c>
      <c r="K50" s="107">
        <v>5584535</v>
      </c>
      <c r="L50" s="107">
        <v>5354811</v>
      </c>
      <c r="M50" s="107">
        <v>5220993</v>
      </c>
      <c r="N50" s="107">
        <v>5323894.2</v>
      </c>
      <c r="O50" s="107">
        <v>5254446</v>
      </c>
      <c r="P50" s="107">
        <v>5063205</v>
      </c>
      <c r="Q50" s="107">
        <v>5489832</v>
      </c>
      <c r="R50" s="108">
        <v>5169244.7929999996</v>
      </c>
      <c r="S50" s="108">
        <v>5139797.0920000002</v>
      </c>
      <c r="T50" s="108">
        <v>4892409.5140000004</v>
      </c>
      <c r="U50" s="108">
        <v>5139129.7740000002</v>
      </c>
      <c r="V50" s="108">
        <v>4800481.7429999998</v>
      </c>
      <c r="W50" s="108">
        <v>5094121.4479999999</v>
      </c>
      <c r="X50" s="108">
        <v>4785671.8150000004</v>
      </c>
      <c r="Y50" s="108">
        <v>4624287.4309999999</v>
      </c>
      <c r="Z50" s="108">
        <v>4626963.9840000002</v>
      </c>
      <c r="AA50" s="108">
        <v>3994521.1540000001</v>
      </c>
      <c r="AB50" s="108">
        <v>3367206.4109999998</v>
      </c>
      <c r="AC50" s="108">
        <v>3323484.372</v>
      </c>
      <c r="AD50" s="108">
        <v>3094574.7039999999</v>
      </c>
      <c r="AE50" s="108">
        <v>2756147.088</v>
      </c>
      <c r="AF50" s="108">
        <v>2423437.6680000001</v>
      </c>
      <c r="AG50" s="108">
        <v>1914793.959</v>
      </c>
      <c r="AH50" s="108">
        <v>1761550.284</v>
      </c>
      <c r="AI50" s="108">
        <v>1620697.497</v>
      </c>
      <c r="AJ50" s="108">
        <v>1361966.077</v>
      </c>
      <c r="AK50" s="108">
        <v>1293679.9310000001</v>
      </c>
    </row>
    <row r="51" spans="1:37" x14ac:dyDescent="0.25">
      <c r="A51" s="104" t="s">
        <v>81</v>
      </c>
      <c r="B51" s="104" t="s">
        <v>48</v>
      </c>
      <c r="C51" s="106">
        <v>112</v>
      </c>
      <c r="D51" s="106">
        <v>190</v>
      </c>
      <c r="E51" s="106">
        <v>540</v>
      </c>
      <c r="F51" s="106">
        <v>513</v>
      </c>
      <c r="G51" s="106">
        <v>452</v>
      </c>
      <c r="H51" s="106">
        <v>443</v>
      </c>
      <c r="I51" s="106">
        <v>436</v>
      </c>
      <c r="J51" s="106">
        <v>418</v>
      </c>
      <c r="K51" s="106">
        <v>472</v>
      </c>
      <c r="L51" s="106">
        <v>570</v>
      </c>
      <c r="M51" s="106">
        <v>610</v>
      </c>
      <c r="N51" s="106">
        <v>536</v>
      </c>
      <c r="O51" s="106">
        <v>460</v>
      </c>
      <c r="P51" s="106">
        <v>351</v>
      </c>
      <c r="Q51" s="106">
        <v>484</v>
      </c>
      <c r="R51" s="106">
        <v>496</v>
      </c>
      <c r="S51" s="106">
        <v>998</v>
      </c>
      <c r="T51" s="106">
        <v>1300</v>
      </c>
      <c r="U51" s="106">
        <v>1722</v>
      </c>
      <c r="V51" s="106">
        <v>1712</v>
      </c>
      <c r="W51" s="106">
        <v>1443</v>
      </c>
      <c r="X51" s="105">
        <v>2253.5509999999999</v>
      </c>
      <c r="Y51" s="106">
        <v>3355.59</v>
      </c>
      <c r="Z51" s="105">
        <v>4632.1220000000003</v>
      </c>
      <c r="AA51" s="105">
        <v>6044.9809999999998</v>
      </c>
      <c r="AB51" s="105">
        <v>6148.5110000000004</v>
      </c>
      <c r="AC51" s="105">
        <v>9315.1810000000005</v>
      </c>
      <c r="AD51" s="105">
        <v>13640.647999999999</v>
      </c>
      <c r="AE51" s="105">
        <v>17939.226999999999</v>
      </c>
      <c r="AF51" s="105">
        <v>25399.144</v>
      </c>
      <c r="AG51" s="106">
        <v>38526.519999999997</v>
      </c>
      <c r="AH51" s="106">
        <v>94350.95</v>
      </c>
      <c r="AI51" s="105">
        <v>113138.928</v>
      </c>
      <c r="AJ51" s="105">
        <v>132387.20499999999</v>
      </c>
      <c r="AK51" s="105">
        <v>148226.978</v>
      </c>
    </row>
    <row r="52" spans="1:37" x14ac:dyDescent="0.25">
      <c r="A52" s="104" t="s">
        <v>81</v>
      </c>
      <c r="B52" s="104" t="s">
        <v>49</v>
      </c>
      <c r="C52" s="107">
        <v>7340172</v>
      </c>
      <c r="D52" s="107">
        <v>7405209</v>
      </c>
      <c r="E52" s="107">
        <v>7421083</v>
      </c>
      <c r="F52" s="107">
        <v>7325710</v>
      </c>
      <c r="G52" s="107">
        <v>7481530</v>
      </c>
      <c r="H52" s="107">
        <v>8311680</v>
      </c>
      <c r="I52" s="107">
        <v>9306711</v>
      </c>
      <c r="J52" s="107">
        <v>9370018</v>
      </c>
      <c r="K52" s="107">
        <v>9596795</v>
      </c>
      <c r="L52" s="107">
        <v>10445871</v>
      </c>
      <c r="M52" s="108">
        <v>11184041.006999999</v>
      </c>
      <c r="N52" s="107">
        <v>11398435.6</v>
      </c>
      <c r="O52" s="107">
        <v>12227979</v>
      </c>
      <c r="P52" s="107">
        <v>12947551</v>
      </c>
      <c r="Q52" s="107">
        <v>13452354</v>
      </c>
      <c r="R52" s="108">
        <v>14396055.268999999</v>
      </c>
      <c r="S52" s="108">
        <v>14652478.001</v>
      </c>
      <c r="T52" s="108">
        <v>14010158.971000001</v>
      </c>
      <c r="U52" s="108">
        <v>14718571.141000001</v>
      </c>
      <c r="V52" s="108">
        <v>13950898.709000001</v>
      </c>
      <c r="W52" s="107">
        <v>14699014.630000001</v>
      </c>
      <c r="X52" s="108">
        <v>14376697.992000001</v>
      </c>
      <c r="Y52" s="108">
        <v>13912898.093</v>
      </c>
      <c r="Z52" s="108">
        <v>14085051.305</v>
      </c>
      <c r="AA52" s="108">
        <v>13097687.028000001</v>
      </c>
      <c r="AB52" s="108">
        <v>13777935.857000001</v>
      </c>
      <c r="AC52" s="107">
        <v>14185279.189999999</v>
      </c>
      <c r="AD52" s="108">
        <v>14919521.615</v>
      </c>
      <c r="AE52" s="108">
        <v>13856329.069</v>
      </c>
      <c r="AF52" s="108">
        <v>15517168.032</v>
      </c>
      <c r="AG52" s="108">
        <v>13933710.827</v>
      </c>
      <c r="AH52" s="108">
        <v>14441689.071</v>
      </c>
      <c r="AI52" s="108">
        <v>15607786.471999999</v>
      </c>
      <c r="AJ52" s="108">
        <v>13916863.707</v>
      </c>
      <c r="AK52" s="108">
        <v>12940406.771</v>
      </c>
    </row>
    <row r="53" spans="1:37" x14ac:dyDescent="0.25">
      <c r="A53" s="104" t="s">
        <v>81</v>
      </c>
      <c r="B53" s="104" t="s">
        <v>50</v>
      </c>
      <c r="C53" s="106">
        <v>1316166</v>
      </c>
      <c r="D53" s="106">
        <v>1475059</v>
      </c>
      <c r="E53" s="106">
        <v>1590241</v>
      </c>
      <c r="F53" s="106">
        <v>1617983</v>
      </c>
      <c r="G53" s="106">
        <v>1528395</v>
      </c>
      <c r="H53" s="106">
        <v>1569441</v>
      </c>
      <c r="I53" s="106">
        <v>1871651</v>
      </c>
      <c r="J53" s="106">
        <v>1741608</v>
      </c>
      <c r="K53" s="106">
        <v>1602744</v>
      </c>
      <c r="L53" s="106">
        <v>1622745</v>
      </c>
      <c r="M53" s="106">
        <v>1749197</v>
      </c>
      <c r="N53" s="106">
        <v>2104241.2000000002</v>
      </c>
      <c r="O53" s="106">
        <v>2238035</v>
      </c>
      <c r="P53" s="106">
        <v>2339123</v>
      </c>
      <c r="Q53" s="106">
        <v>2659430</v>
      </c>
      <c r="R53" s="105">
        <v>2854216.9789999998</v>
      </c>
      <c r="S53" s="106">
        <v>2752356</v>
      </c>
      <c r="T53" s="106">
        <v>2735194</v>
      </c>
      <c r="U53" s="106">
        <v>2998366</v>
      </c>
      <c r="V53" s="106">
        <v>2849929</v>
      </c>
      <c r="W53" s="106">
        <v>3263611</v>
      </c>
      <c r="X53" s="105">
        <v>3266217.0649999999</v>
      </c>
      <c r="Y53" s="106">
        <v>3368303.2</v>
      </c>
      <c r="Z53" s="105">
        <v>3879001.8769999999</v>
      </c>
      <c r="AA53" s="105">
        <v>3614725.7680000002</v>
      </c>
      <c r="AB53" s="105">
        <v>3519692.8760000002</v>
      </c>
      <c r="AC53" s="105">
        <v>3153567.7969999998</v>
      </c>
      <c r="AD53" s="105">
        <v>2577885.415</v>
      </c>
      <c r="AE53" s="106">
        <v>1277490.3</v>
      </c>
      <c r="AF53" s="105">
        <v>1539094.081</v>
      </c>
      <c r="AG53" s="106">
        <v>1228476.98</v>
      </c>
      <c r="AH53" s="105">
        <v>1241603.7479999999</v>
      </c>
      <c r="AI53" s="105">
        <v>2247612.9559999998</v>
      </c>
      <c r="AJ53" s="105">
        <v>2491951.719</v>
      </c>
      <c r="AK53" s="106">
        <v>2092109.7</v>
      </c>
    </row>
    <row r="54" spans="1:37" x14ac:dyDescent="0.25">
      <c r="A54" s="104" t="s">
        <v>81</v>
      </c>
      <c r="B54" s="104" t="s">
        <v>51</v>
      </c>
      <c r="C54" s="107">
        <v>-128719</v>
      </c>
      <c r="D54" s="107">
        <v>-8297</v>
      </c>
      <c r="E54" s="107">
        <v>-227071</v>
      </c>
      <c r="F54" s="107">
        <v>-28277</v>
      </c>
      <c r="G54" s="107">
        <v>-190867</v>
      </c>
      <c r="H54" s="107">
        <v>-76855</v>
      </c>
      <c r="I54" s="107">
        <v>-108534</v>
      </c>
      <c r="J54" s="107">
        <v>-182851</v>
      </c>
      <c r="K54" s="107">
        <v>99947</v>
      </c>
      <c r="L54" s="107">
        <v>-191822</v>
      </c>
      <c r="M54" s="107">
        <v>-299858</v>
      </c>
      <c r="N54" s="107">
        <v>252306</v>
      </c>
      <c r="O54" s="107">
        <v>-267088</v>
      </c>
      <c r="P54" s="107">
        <v>80972</v>
      </c>
      <c r="Q54" s="108">
        <v>-117151.117</v>
      </c>
      <c r="R54" s="108">
        <v>20413.878000000001</v>
      </c>
      <c r="S54" s="108">
        <v>-315927.35800000001</v>
      </c>
      <c r="T54" s="108">
        <v>253644.696</v>
      </c>
      <c r="U54" s="107">
        <v>-147828.60999999999</v>
      </c>
      <c r="V54" s="108">
        <v>-194347.39300000001</v>
      </c>
      <c r="W54" s="108">
        <v>347322.53399999999</v>
      </c>
      <c r="X54" s="108">
        <v>-383138.77799999999</v>
      </c>
      <c r="Y54" s="107">
        <v>60374.5</v>
      </c>
      <c r="Z54" s="108">
        <v>115552.05499999999</v>
      </c>
      <c r="AA54" s="108">
        <v>-290056.20400000003</v>
      </c>
      <c r="AB54" s="108">
        <v>146296.73800000001</v>
      </c>
      <c r="AC54" s="107">
        <v>220218.27</v>
      </c>
      <c r="AD54" s="108">
        <v>-43192.584000000003</v>
      </c>
      <c r="AE54" s="108">
        <v>-228404.954</v>
      </c>
      <c r="AF54" s="108">
        <v>-814437.17099999997</v>
      </c>
      <c r="AG54" s="108">
        <v>578510.92200000002</v>
      </c>
      <c r="AH54" s="108">
        <v>818154.35600000003</v>
      </c>
      <c r="AI54" s="108">
        <v>-1293949.6370000001</v>
      </c>
      <c r="AJ54" s="108">
        <v>-91658.455000000002</v>
      </c>
      <c r="AK54" s="108">
        <v>583653.61100000003</v>
      </c>
    </row>
    <row r="55" spans="1:37" x14ac:dyDescent="0.25">
      <c r="A55" s="104" t="s">
        <v>81</v>
      </c>
      <c r="B55" s="104" t="s">
        <v>52</v>
      </c>
      <c r="C55" s="106">
        <v>0</v>
      </c>
      <c r="D55" s="106">
        <v>0</v>
      </c>
      <c r="E55" s="106">
        <v>0</v>
      </c>
      <c r="F55" s="106">
        <v>0</v>
      </c>
      <c r="G55" s="106">
        <v>0</v>
      </c>
      <c r="H55" s="106">
        <v>0</v>
      </c>
      <c r="I55" s="106">
        <v>0</v>
      </c>
      <c r="J55" s="106">
        <v>0</v>
      </c>
      <c r="K55" s="106">
        <v>0</v>
      </c>
      <c r="L55" s="106">
        <v>0</v>
      </c>
      <c r="M55" s="106">
        <v>0</v>
      </c>
      <c r="N55" s="106">
        <v>0</v>
      </c>
      <c r="O55" s="106">
        <v>0</v>
      </c>
      <c r="P55" s="106">
        <v>0</v>
      </c>
      <c r="Q55" s="106">
        <v>0</v>
      </c>
      <c r="R55" s="106">
        <v>0</v>
      </c>
      <c r="S55" s="106">
        <v>0</v>
      </c>
      <c r="T55" s="106">
        <v>0</v>
      </c>
      <c r="U55" s="106">
        <v>0</v>
      </c>
      <c r="V55" s="106">
        <v>0</v>
      </c>
      <c r="W55" s="106">
        <v>0</v>
      </c>
      <c r="X55" s="106">
        <v>0</v>
      </c>
      <c r="Y55" s="106">
        <v>0</v>
      </c>
      <c r="Z55" s="105">
        <v>14.631</v>
      </c>
      <c r="AA55" s="105">
        <v>24.338000000000001</v>
      </c>
      <c r="AB55" s="105">
        <v>252.21100000000001</v>
      </c>
      <c r="AC55" s="105">
        <v>87.341999999999999</v>
      </c>
      <c r="AD55" s="105">
        <v>2330.1619999999998</v>
      </c>
      <c r="AE55" s="105">
        <v>3050.4369999999999</v>
      </c>
      <c r="AF55" s="105">
        <v>6673.8130000000001</v>
      </c>
      <c r="AG55" s="105">
        <v>8410.0560000000005</v>
      </c>
      <c r="AH55" s="106">
        <v>12304.79</v>
      </c>
      <c r="AI55" s="105">
        <v>7177.0789999999997</v>
      </c>
      <c r="AJ55" s="105">
        <v>20214.957999999999</v>
      </c>
      <c r="AK55" s="105">
        <v>37536.279000000002</v>
      </c>
    </row>
    <row r="56" spans="1:37" x14ac:dyDescent="0.25">
      <c r="A56" s="104" t="s">
        <v>81</v>
      </c>
      <c r="B56" s="104" t="s">
        <v>53</v>
      </c>
      <c r="C56" s="107">
        <v>11620497</v>
      </c>
      <c r="D56" s="107">
        <v>11901909</v>
      </c>
      <c r="E56" s="107">
        <v>11502350</v>
      </c>
      <c r="F56" s="107">
        <v>11709466</v>
      </c>
      <c r="G56" s="107">
        <v>11585326</v>
      </c>
      <c r="H56" s="107">
        <v>12586710</v>
      </c>
      <c r="I56" s="107">
        <v>13655644</v>
      </c>
      <c r="J56" s="107">
        <v>13292568</v>
      </c>
      <c r="K56" s="107">
        <v>13679005</v>
      </c>
      <c r="L56" s="107">
        <v>13986685</v>
      </c>
      <c r="M56" s="108">
        <v>14356589.006999999</v>
      </c>
      <c r="N56" s="107">
        <v>14870930.6</v>
      </c>
      <c r="O56" s="107">
        <v>14977762</v>
      </c>
      <c r="P56" s="107">
        <v>15752956</v>
      </c>
      <c r="Q56" s="108">
        <v>16166088.882999999</v>
      </c>
      <c r="R56" s="108">
        <v>16731992.960999999</v>
      </c>
      <c r="S56" s="108">
        <v>16634395.734999999</v>
      </c>
      <c r="T56" s="108">
        <v>16422319.181</v>
      </c>
      <c r="U56" s="108">
        <v>16715242.305</v>
      </c>
      <c r="V56" s="108">
        <v>15708816.059</v>
      </c>
      <c r="W56" s="108">
        <v>16878290.612</v>
      </c>
      <c r="X56" s="108">
        <v>15515267.515000001</v>
      </c>
      <c r="Y56" s="108">
        <v>15207866.414000001</v>
      </c>
      <c r="Z56" s="108">
        <v>14946548.958000001</v>
      </c>
      <c r="AA56" s="108">
        <v>13186743.853</v>
      </c>
      <c r="AB56" s="107">
        <v>13773201.43</v>
      </c>
      <c r="AC56" s="108">
        <v>14579726.874</v>
      </c>
      <c r="AD56" s="108">
        <v>15402817.221999999</v>
      </c>
      <c r="AE56" s="108">
        <v>15121469.693</v>
      </c>
      <c r="AF56" s="108">
        <v>15605799.778999999</v>
      </c>
      <c r="AG56" s="108">
        <v>15228655.192</v>
      </c>
      <c r="AH56" s="108">
        <v>15848814.130999999</v>
      </c>
      <c r="AI56" s="108">
        <v>13804329.377</v>
      </c>
      <c r="AJ56" s="108">
        <v>12795756.817</v>
      </c>
      <c r="AK56" s="108">
        <v>12836321.312000001</v>
      </c>
    </row>
    <row r="57" spans="1:37" ht="11.5" customHeight="1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 ht="14.5" x14ac:dyDescent="0.35">
      <c r="A58" s="101" t="s">
        <v>69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 ht="14.5" x14ac:dyDescent="0.35">
      <c r="A59" s="101" t="s">
        <v>255</v>
      </c>
      <c r="B59" s="100" t="s">
        <v>70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 ht="14.5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 ht="14.5" x14ac:dyDescent="0.3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 ht="14.5" x14ac:dyDescent="0.3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</sheetData>
  <mergeCells count="1">
    <mergeCell ref="A13:B13"/>
  </mergeCells>
  <hyperlinks>
    <hyperlink ref="A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J136"/>
  <sheetViews>
    <sheetView topLeftCell="J1" workbookViewId="0">
      <selection activeCell="AA35" sqref="AA35:AJ35"/>
    </sheetView>
  </sheetViews>
  <sheetFormatPr defaultRowHeight="12.5" x14ac:dyDescent="0.25"/>
  <cols>
    <col min="1" max="1" width="73.1796875" style="16" customWidth="1"/>
    <col min="2" max="2" width="28.1796875" style="16" customWidth="1"/>
    <col min="3" max="32" width="9.1796875" style="16" customWidth="1"/>
    <col min="33" max="16384" width="8.7265625" style="16"/>
  </cols>
  <sheetData>
    <row r="1" spans="1:36" x14ac:dyDescent="0.25">
      <c r="A1" s="15" t="s">
        <v>258</v>
      </c>
    </row>
    <row r="2" spans="1:36" x14ac:dyDescent="0.25">
      <c r="A2" s="16" t="s">
        <v>152</v>
      </c>
    </row>
    <row r="4" spans="1:36" ht="14.5" x14ac:dyDescent="0.35">
      <c r="A4" s="100" t="s">
        <v>291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4.5" x14ac:dyDescent="0.35">
      <c r="A5" s="100" t="s">
        <v>1</v>
      </c>
      <c r="B5" s="101" t="s">
        <v>290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ht="14.5" x14ac:dyDescent="0.35">
      <c r="A6" s="100" t="s">
        <v>2</v>
      </c>
      <c r="B6" s="100" t="s">
        <v>284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ht="14.5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ht="14.5" x14ac:dyDescent="0.35">
      <c r="A8" s="101" t="s">
        <v>3</v>
      </c>
      <c r="B8"/>
      <c r="C8" s="100" t="s">
        <v>4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ht="14.5" x14ac:dyDescent="0.35">
      <c r="A9" s="101" t="s">
        <v>153</v>
      </c>
      <c r="B9"/>
      <c r="C9" s="100" t="s">
        <v>154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ht="14.5" x14ac:dyDescent="0.35">
      <c r="A10" s="101" t="s">
        <v>155</v>
      </c>
      <c r="B10"/>
      <c r="C10" s="100" t="s">
        <v>154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4.5" x14ac:dyDescent="0.35">
      <c r="A11" s="101" t="s">
        <v>115</v>
      </c>
      <c r="B11"/>
      <c r="C11" s="100" t="s">
        <v>156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ht="14.5" x14ac:dyDescent="0.35">
      <c r="A12" s="101" t="s">
        <v>5</v>
      </c>
      <c r="B12"/>
      <c r="C12" s="100" t="s">
        <v>157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4.5" x14ac:dyDescent="0.35">
      <c r="A13" s="101" t="s">
        <v>7</v>
      </c>
      <c r="B13"/>
      <c r="C13" s="100" t="s">
        <v>8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ht="14.5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 x14ac:dyDescent="0.25">
      <c r="A15" s="111" t="s">
        <v>9</v>
      </c>
      <c r="B15" s="102" t="s">
        <v>10</v>
      </c>
      <c r="C15" s="102" t="s">
        <v>11</v>
      </c>
      <c r="D15" s="102" t="s">
        <v>12</v>
      </c>
      <c r="E15" s="102" t="s">
        <v>13</v>
      </c>
      <c r="F15" s="102" t="s">
        <v>14</v>
      </c>
      <c r="G15" s="102" t="s">
        <v>15</v>
      </c>
      <c r="H15" s="102" t="s">
        <v>16</v>
      </c>
      <c r="I15" s="102" t="s">
        <v>17</v>
      </c>
      <c r="J15" s="102" t="s">
        <v>18</v>
      </c>
      <c r="K15" s="102" t="s">
        <v>19</v>
      </c>
      <c r="L15" s="102" t="s">
        <v>20</v>
      </c>
      <c r="M15" s="102" t="s">
        <v>21</v>
      </c>
      <c r="N15" s="102" t="s">
        <v>22</v>
      </c>
      <c r="O15" s="102" t="s">
        <v>23</v>
      </c>
      <c r="P15" s="102" t="s">
        <v>24</v>
      </c>
      <c r="Q15" s="102" t="s">
        <v>25</v>
      </c>
      <c r="R15" s="102" t="s">
        <v>26</v>
      </c>
      <c r="S15" s="102" t="s">
        <v>27</v>
      </c>
      <c r="T15" s="102" t="s">
        <v>28</v>
      </c>
      <c r="U15" s="102" t="s">
        <v>29</v>
      </c>
      <c r="V15" s="102" t="s">
        <v>30</v>
      </c>
      <c r="W15" s="102" t="s">
        <v>31</v>
      </c>
      <c r="X15" s="102" t="s">
        <v>32</v>
      </c>
      <c r="Y15" s="102" t="s">
        <v>33</v>
      </c>
      <c r="Z15" s="102" t="s">
        <v>34</v>
      </c>
      <c r="AA15" s="102" t="s">
        <v>35</v>
      </c>
      <c r="AB15" s="102" t="s">
        <v>36</v>
      </c>
      <c r="AC15" s="102" t="s">
        <v>37</v>
      </c>
      <c r="AD15" s="102" t="s">
        <v>38</v>
      </c>
      <c r="AE15" s="102" t="s">
        <v>39</v>
      </c>
      <c r="AF15" s="102" t="s">
        <v>40</v>
      </c>
      <c r="AG15" s="102" t="s">
        <v>41</v>
      </c>
      <c r="AH15" s="102" t="s">
        <v>42</v>
      </c>
      <c r="AI15" s="102" t="s">
        <v>254</v>
      </c>
      <c r="AJ15" s="102" t="s">
        <v>285</v>
      </c>
    </row>
    <row r="16" spans="1:36" ht="14.5" x14ac:dyDescent="0.35">
      <c r="A16" s="103" t="s">
        <v>43</v>
      </c>
      <c r="B16" s="88" t="s">
        <v>45</v>
      </c>
      <c r="C16" s="88" t="s">
        <v>45</v>
      </c>
      <c r="D16" s="88" t="s">
        <v>45</v>
      </c>
      <c r="E16" s="88" t="s">
        <v>45</v>
      </c>
      <c r="F16" s="88" t="s">
        <v>45</v>
      </c>
      <c r="G16" s="88" t="s">
        <v>45</v>
      </c>
      <c r="H16" s="88" t="s">
        <v>45</v>
      </c>
      <c r="I16" s="88" t="s">
        <v>45</v>
      </c>
      <c r="J16" s="88" t="s">
        <v>45</v>
      </c>
      <c r="K16" s="88" t="s">
        <v>45</v>
      </c>
      <c r="L16" s="88" t="s">
        <v>45</v>
      </c>
      <c r="M16" s="88" t="s">
        <v>45</v>
      </c>
      <c r="N16" s="88" t="s">
        <v>45</v>
      </c>
      <c r="O16" s="88" t="s">
        <v>45</v>
      </c>
      <c r="P16" s="88" t="s">
        <v>45</v>
      </c>
      <c r="Q16" s="88" t="s">
        <v>45</v>
      </c>
      <c r="R16" s="88" t="s">
        <v>45</v>
      </c>
      <c r="S16" s="88" t="s">
        <v>45</v>
      </c>
      <c r="T16" s="88" t="s">
        <v>45</v>
      </c>
      <c r="U16" s="88" t="s">
        <v>45</v>
      </c>
      <c r="V16" s="88" t="s">
        <v>45</v>
      </c>
      <c r="W16" s="88" t="s">
        <v>45</v>
      </c>
      <c r="X16" s="88" t="s">
        <v>45</v>
      </c>
      <c r="Y16" s="88" t="s">
        <v>45</v>
      </c>
      <c r="Z16" s="88" t="s">
        <v>45</v>
      </c>
      <c r="AA16" s="88" t="s">
        <v>45</v>
      </c>
      <c r="AB16" s="88" t="s">
        <v>45</v>
      </c>
      <c r="AC16" s="88" t="s">
        <v>45</v>
      </c>
      <c r="AD16" s="88" t="s">
        <v>45</v>
      </c>
      <c r="AE16" s="88" t="s">
        <v>45</v>
      </c>
      <c r="AF16" s="88" t="s">
        <v>45</v>
      </c>
      <c r="AG16" s="88" t="s">
        <v>45</v>
      </c>
      <c r="AH16" s="88" t="s">
        <v>45</v>
      </c>
      <c r="AI16" s="88" t="s">
        <v>45</v>
      </c>
      <c r="AJ16" s="88" t="s">
        <v>45</v>
      </c>
    </row>
    <row r="17" spans="1:36" x14ac:dyDescent="0.25">
      <c r="A17" s="104" t="s">
        <v>158</v>
      </c>
      <c r="B17" s="108">
        <v>301519.42700000003</v>
      </c>
      <c r="C17" s="108">
        <v>315577.20500000002</v>
      </c>
      <c r="D17" s="108">
        <v>329216.272</v>
      </c>
      <c r="E17" s="108">
        <v>335170.81300000002</v>
      </c>
      <c r="F17" s="108">
        <v>344256.77100000001</v>
      </c>
      <c r="G17" s="108">
        <v>346647.098</v>
      </c>
      <c r="H17" s="108">
        <v>350539.75300000003</v>
      </c>
      <c r="I17" s="108">
        <v>353614.08199999999</v>
      </c>
      <c r="J17" s="108">
        <v>367473.34899999999</v>
      </c>
      <c r="K17" s="108">
        <v>367247.52600000001</v>
      </c>
      <c r="L17" s="108">
        <v>379103.37400000001</v>
      </c>
      <c r="M17" s="108">
        <v>401998.19199999998</v>
      </c>
      <c r="N17" s="108">
        <v>345681.97899999999</v>
      </c>
      <c r="O17" s="107">
        <v>335722.3</v>
      </c>
      <c r="P17" s="108">
        <v>355268.46100000001</v>
      </c>
      <c r="Q17" s="108">
        <v>340546.18400000001</v>
      </c>
      <c r="R17" s="108">
        <v>342707.54499999998</v>
      </c>
      <c r="S17" s="108">
        <v>338894.12800000003</v>
      </c>
      <c r="T17" s="108">
        <v>354878.27299999999</v>
      </c>
      <c r="U17" s="108">
        <v>357662.56900000002</v>
      </c>
      <c r="V17" s="108">
        <v>401279.58299999998</v>
      </c>
      <c r="W17" s="108">
        <v>332848.79700000002</v>
      </c>
      <c r="X17" s="108">
        <v>359551.397</v>
      </c>
      <c r="Y17" s="108">
        <v>396650.77500000002</v>
      </c>
      <c r="Z17" s="108">
        <v>398608.49400000001</v>
      </c>
      <c r="AA17" s="108">
        <v>363237.62800000003</v>
      </c>
      <c r="AB17" s="108">
        <v>372711.19500000001</v>
      </c>
      <c r="AC17" s="108">
        <v>322463.41100000002</v>
      </c>
      <c r="AD17" s="108">
        <v>370234.43599999999</v>
      </c>
      <c r="AE17" s="108">
        <v>345641.67499999999</v>
      </c>
      <c r="AF17" s="107">
        <v>375485.65</v>
      </c>
      <c r="AG17" s="108">
        <v>374977.57799999998</v>
      </c>
      <c r="AH17" s="108">
        <v>307441.55099999998</v>
      </c>
      <c r="AI17" s="108">
        <v>361023.54200000002</v>
      </c>
      <c r="AJ17" s="108">
        <v>402894.20699999999</v>
      </c>
    </row>
    <row r="18" spans="1:36" x14ac:dyDescent="0.25">
      <c r="A18" s="104" t="s">
        <v>159</v>
      </c>
      <c r="B18" s="105">
        <v>271139.95199999999</v>
      </c>
      <c r="C18" s="105">
        <v>283613.67200000002</v>
      </c>
      <c r="D18" s="105">
        <v>298420.13500000001</v>
      </c>
      <c r="E18" s="105">
        <v>304436.35399999999</v>
      </c>
      <c r="F18" s="105">
        <v>312893.69900000002</v>
      </c>
      <c r="G18" s="105">
        <v>313284.97700000001</v>
      </c>
      <c r="H18" s="105">
        <v>312553.50099999999</v>
      </c>
      <c r="I18" s="105">
        <v>317739.821</v>
      </c>
      <c r="J18" s="106">
        <v>328064.63</v>
      </c>
      <c r="K18" s="105">
        <v>328092.83799999999</v>
      </c>
      <c r="L18" s="105">
        <v>337658.01899999997</v>
      </c>
      <c r="M18" s="105">
        <v>354436.79599999997</v>
      </c>
      <c r="N18" s="105">
        <v>301749.43699999998</v>
      </c>
      <c r="O18" s="105">
        <v>288972.17200000002</v>
      </c>
      <c r="P18" s="105">
        <v>308854.71600000001</v>
      </c>
      <c r="Q18" s="105">
        <v>295997.08299999998</v>
      </c>
      <c r="R18" s="105">
        <v>297964.005</v>
      </c>
      <c r="S18" s="105">
        <v>294584.30099999998</v>
      </c>
      <c r="T18" s="105">
        <v>313054.88199999998</v>
      </c>
      <c r="U18" s="105">
        <v>315702.42200000002</v>
      </c>
      <c r="V18" s="105">
        <v>354325.37199999997</v>
      </c>
      <c r="W18" s="105">
        <v>293410.82500000001</v>
      </c>
      <c r="X18" s="105">
        <v>316879.43800000002</v>
      </c>
      <c r="Y18" s="105">
        <v>350061.88199999998</v>
      </c>
      <c r="Z18" s="106">
        <v>352851.32</v>
      </c>
      <c r="AA18" s="105">
        <v>321469.26899999997</v>
      </c>
      <c r="AB18" s="105">
        <v>327996.06300000002</v>
      </c>
      <c r="AC18" s="105">
        <v>281812.50599999999</v>
      </c>
      <c r="AD18" s="105">
        <v>326818.54200000002</v>
      </c>
      <c r="AE18" s="105">
        <v>306476.88199999998</v>
      </c>
      <c r="AF18" s="105">
        <v>331707.81199999998</v>
      </c>
      <c r="AG18" s="106">
        <v>330886.28000000003</v>
      </c>
      <c r="AH18" s="105">
        <v>265425.67599999998</v>
      </c>
      <c r="AI18" s="105">
        <v>315193.81199999998</v>
      </c>
      <c r="AJ18" s="105">
        <v>350395.84299999999</v>
      </c>
    </row>
    <row r="19" spans="1:36" x14ac:dyDescent="0.25">
      <c r="A19" s="104" t="s">
        <v>160</v>
      </c>
      <c r="B19" s="108">
        <v>14736.598</v>
      </c>
      <c r="C19" s="108">
        <v>14806.451999999999</v>
      </c>
      <c r="D19" s="108">
        <v>10331.406999999999</v>
      </c>
      <c r="E19" s="108">
        <v>12627.334000000001</v>
      </c>
      <c r="F19" s="107">
        <v>14478.11</v>
      </c>
      <c r="G19" s="108">
        <v>12128.583000000001</v>
      </c>
      <c r="H19" s="107">
        <v>16475.34</v>
      </c>
      <c r="I19" s="108">
        <v>15925.808000000001</v>
      </c>
      <c r="J19" s="108">
        <v>17423.643</v>
      </c>
      <c r="K19" s="108">
        <v>13074.425999999999</v>
      </c>
      <c r="L19" s="108">
        <v>31039.054</v>
      </c>
      <c r="M19" s="108">
        <v>33592.964999999997</v>
      </c>
      <c r="N19" s="108">
        <v>28464.794999999998</v>
      </c>
      <c r="O19" s="108">
        <v>47407.112999999998</v>
      </c>
      <c r="P19" s="108">
        <v>51148.281000000003</v>
      </c>
      <c r="Q19" s="107">
        <v>71192.179999999993</v>
      </c>
      <c r="R19" s="108">
        <v>74361.171000000002</v>
      </c>
      <c r="S19" s="108">
        <v>74893.274999999994</v>
      </c>
      <c r="T19" s="108">
        <v>77595.217999999993</v>
      </c>
      <c r="U19" s="107">
        <v>82408.649999999994</v>
      </c>
      <c r="V19" s="108">
        <v>87650.676999999996</v>
      </c>
      <c r="W19" s="108">
        <v>75907.108999999997</v>
      </c>
      <c r="X19" s="108">
        <v>82173.652000000002</v>
      </c>
      <c r="Y19" s="108">
        <v>90716.718999999997</v>
      </c>
      <c r="Z19" s="108">
        <v>92378.241999999998</v>
      </c>
      <c r="AA19" s="107">
        <v>77725.11</v>
      </c>
      <c r="AB19" s="107">
        <v>85343.82</v>
      </c>
      <c r="AC19" s="108">
        <v>77013.641000000003</v>
      </c>
      <c r="AD19" s="108">
        <v>81374.035999999993</v>
      </c>
      <c r="AE19" s="108">
        <v>82454.448999999993</v>
      </c>
      <c r="AF19" s="108">
        <v>86873.058000000005</v>
      </c>
      <c r="AG19" s="108">
        <v>83550.377999999997</v>
      </c>
      <c r="AH19" s="108">
        <v>66813.907000000007</v>
      </c>
      <c r="AI19" s="108">
        <v>84507.803</v>
      </c>
      <c r="AJ19" s="109" t="s">
        <v>255</v>
      </c>
    </row>
    <row r="20" spans="1:36" x14ac:dyDescent="0.25">
      <c r="A20" s="104" t="s">
        <v>161</v>
      </c>
      <c r="B20" s="106">
        <v>16730.68</v>
      </c>
      <c r="C20" s="105">
        <v>16426.483</v>
      </c>
      <c r="D20" s="105">
        <v>14803.556</v>
      </c>
      <c r="E20" s="105">
        <v>16069.409</v>
      </c>
      <c r="F20" s="105">
        <v>17419.260999999999</v>
      </c>
      <c r="G20" s="105">
        <v>17155.922999999999</v>
      </c>
      <c r="H20" s="105">
        <v>19440.316999999999</v>
      </c>
      <c r="I20" s="105">
        <v>18617.241999999998</v>
      </c>
      <c r="J20" s="105">
        <v>19812.794000000002</v>
      </c>
      <c r="K20" s="105">
        <v>19024.977999999999</v>
      </c>
      <c r="L20" s="105">
        <v>19865.114000000001</v>
      </c>
      <c r="M20" s="105">
        <v>26503.243999999999</v>
      </c>
      <c r="N20" s="105">
        <v>20226.833999999999</v>
      </c>
      <c r="O20" s="105">
        <v>24485.346000000001</v>
      </c>
      <c r="P20" s="105">
        <v>22949.437000000002</v>
      </c>
      <c r="Q20" s="105">
        <v>20095.582999999999</v>
      </c>
      <c r="R20" s="105">
        <v>20912.484</v>
      </c>
      <c r="S20" s="105">
        <v>21187.197</v>
      </c>
      <c r="T20" s="105">
        <v>20532.041000000001</v>
      </c>
      <c r="U20" s="105">
        <v>20844.203000000001</v>
      </c>
      <c r="V20" s="105">
        <v>24870.062999999998</v>
      </c>
      <c r="W20" s="105">
        <v>22409.665000000001</v>
      </c>
      <c r="X20" s="105">
        <v>24572.026000000002</v>
      </c>
      <c r="Y20" s="105">
        <v>27960.125</v>
      </c>
      <c r="Z20" s="105">
        <v>27336.925999999999</v>
      </c>
      <c r="AA20" s="106">
        <v>23894.97</v>
      </c>
      <c r="AB20" s="106">
        <v>26917.57</v>
      </c>
      <c r="AC20" s="106">
        <v>22719.98</v>
      </c>
      <c r="AD20" s="105">
        <v>27043.575000000001</v>
      </c>
      <c r="AE20" s="105">
        <v>23275.739000000001</v>
      </c>
      <c r="AF20" s="105">
        <v>25837.969000000001</v>
      </c>
      <c r="AG20" s="105">
        <v>27914.648000000001</v>
      </c>
      <c r="AH20" s="105">
        <v>23336.528999999999</v>
      </c>
      <c r="AI20" s="105">
        <v>27543.956999999999</v>
      </c>
      <c r="AJ20" s="106">
        <v>32939.65</v>
      </c>
    </row>
    <row r="21" spans="1:36" x14ac:dyDescent="0.25">
      <c r="A21" s="104" t="s">
        <v>162</v>
      </c>
      <c r="B21" s="108">
        <v>4234.0029999999997</v>
      </c>
      <c r="C21" s="108">
        <v>4437.2879999999996</v>
      </c>
      <c r="D21" s="108">
        <v>5546.7219999999998</v>
      </c>
      <c r="E21" s="108">
        <v>4742.7169999999996</v>
      </c>
      <c r="F21" s="107">
        <v>4488.26</v>
      </c>
      <c r="G21" s="108">
        <v>5213.3879999999999</v>
      </c>
      <c r="H21" s="108">
        <v>4812.3869999999997</v>
      </c>
      <c r="I21" s="108">
        <v>4606.2190000000001</v>
      </c>
      <c r="J21" s="108">
        <v>4937.3249999999998</v>
      </c>
      <c r="K21" s="108">
        <v>6298.9709999999995</v>
      </c>
      <c r="L21" s="108">
        <v>7344.9350000000004</v>
      </c>
      <c r="M21" s="108">
        <v>7531.9740000000002</v>
      </c>
      <c r="N21" s="108">
        <v>9379.4529999999995</v>
      </c>
      <c r="O21" s="108">
        <v>8814.0840000000007</v>
      </c>
      <c r="P21" s="108">
        <v>8613.1229999999996</v>
      </c>
      <c r="Q21" s="108">
        <v>9097.6910000000007</v>
      </c>
      <c r="R21" s="107">
        <v>8901.9</v>
      </c>
      <c r="S21" s="108">
        <v>8072.5749999999998</v>
      </c>
      <c r="T21" s="108">
        <v>7988.6130000000003</v>
      </c>
      <c r="U21" s="108">
        <v>7550.527</v>
      </c>
      <c r="V21" s="108">
        <v>7378.7560000000003</v>
      </c>
      <c r="W21" s="108">
        <v>8399.1219999999994</v>
      </c>
      <c r="X21" s="108">
        <v>9782.8430000000008</v>
      </c>
      <c r="Y21" s="108">
        <v>10012.635</v>
      </c>
      <c r="Z21" s="108">
        <v>10144.785</v>
      </c>
      <c r="AA21" s="108">
        <v>9381.8809999999994</v>
      </c>
      <c r="AB21" s="108">
        <v>9326.9480000000003</v>
      </c>
      <c r="AC21" s="108">
        <v>10186.521000000001</v>
      </c>
      <c r="AD21" s="108">
        <v>9980.6869999999999</v>
      </c>
      <c r="AE21" s="107">
        <v>9494.1299999999992</v>
      </c>
      <c r="AF21" s="108">
        <v>10366.528</v>
      </c>
      <c r="AG21" s="107">
        <v>10354.549999999999</v>
      </c>
      <c r="AH21" s="108">
        <v>12606.736999999999</v>
      </c>
      <c r="AI21" s="108">
        <v>12884.156999999999</v>
      </c>
      <c r="AJ21" s="108">
        <v>14685.843999999999</v>
      </c>
    </row>
    <row r="22" spans="1:36" x14ac:dyDescent="0.25">
      <c r="A22" s="104" t="s">
        <v>163</v>
      </c>
      <c r="B22" s="106">
        <v>13642.11</v>
      </c>
      <c r="C22" s="105">
        <v>15526.284</v>
      </c>
      <c r="D22" s="105">
        <v>15986.627</v>
      </c>
      <c r="E22" s="105">
        <v>14659.093999999999</v>
      </c>
      <c r="F22" s="105">
        <v>13936.375</v>
      </c>
      <c r="G22" s="105">
        <v>16201.021000000001</v>
      </c>
      <c r="H22" s="105">
        <v>18540.069</v>
      </c>
      <c r="I22" s="105">
        <v>17249.984</v>
      </c>
      <c r="J22" s="106">
        <v>19590.5</v>
      </c>
      <c r="K22" s="105">
        <v>20121.169000000002</v>
      </c>
      <c r="L22" s="105">
        <v>21574.664000000001</v>
      </c>
      <c r="M22" s="105">
        <v>21052.606</v>
      </c>
      <c r="N22" s="105">
        <v>23697.237000000001</v>
      </c>
      <c r="O22" s="105">
        <v>22251.600999999999</v>
      </c>
      <c r="P22" s="105">
        <v>23446.405999999999</v>
      </c>
      <c r="Q22" s="105">
        <v>24437.127</v>
      </c>
      <c r="R22" s="106">
        <v>23817.42</v>
      </c>
      <c r="S22" s="105">
        <v>23115.841</v>
      </c>
      <c r="T22" s="105">
        <v>21286.414000000001</v>
      </c>
      <c r="U22" s="105">
        <v>21111.260999999999</v>
      </c>
      <c r="V22" s="105">
        <v>22075.636999999999</v>
      </c>
      <c r="W22" s="105">
        <v>17024.021000000001</v>
      </c>
      <c r="X22" s="105">
        <v>18095.307000000001</v>
      </c>
      <c r="Y22" s="105">
        <v>18623.800999999999</v>
      </c>
      <c r="Z22" s="105">
        <v>18413.727999999999</v>
      </c>
      <c r="AA22" s="105">
        <v>17867.254000000001</v>
      </c>
      <c r="AB22" s="105">
        <v>17791.024000000001</v>
      </c>
      <c r="AC22" s="105">
        <v>17930.924999999999</v>
      </c>
      <c r="AD22" s="105">
        <v>16372.319</v>
      </c>
      <c r="AE22" s="105">
        <v>15889.054</v>
      </c>
      <c r="AF22" s="105">
        <v>17939.868999999999</v>
      </c>
      <c r="AG22" s="106">
        <v>16176.65</v>
      </c>
      <c r="AH22" s="105">
        <v>18678.652999999998</v>
      </c>
      <c r="AI22" s="105">
        <v>18285.773000000001</v>
      </c>
      <c r="AJ22" s="105">
        <v>19558.710999999999</v>
      </c>
    </row>
    <row r="23" spans="1:36" x14ac:dyDescent="0.25">
      <c r="A23" s="104" t="s">
        <v>164</v>
      </c>
      <c r="B23" s="107">
        <v>3226</v>
      </c>
      <c r="C23" s="107">
        <v>3187</v>
      </c>
      <c r="D23" s="107">
        <v>3464</v>
      </c>
      <c r="E23" s="107">
        <v>3671</v>
      </c>
      <c r="F23" s="107">
        <v>3450</v>
      </c>
      <c r="G23" s="107">
        <v>3478</v>
      </c>
      <c r="H23" s="107">
        <v>3811</v>
      </c>
      <c r="I23" s="107">
        <v>3956</v>
      </c>
      <c r="J23" s="107">
        <v>4272</v>
      </c>
      <c r="K23" s="107">
        <v>4483</v>
      </c>
      <c r="L23" s="107">
        <v>4785</v>
      </c>
      <c r="M23" s="107">
        <v>4612</v>
      </c>
      <c r="N23" s="108">
        <v>4760.9650000000001</v>
      </c>
      <c r="O23" s="108">
        <v>5433.9650000000001</v>
      </c>
      <c r="P23" s="108">
        <v>5523.4690000000001</v>
      </c>
      <c r="Q23" s="108">
        <v>5397.6729999999998</v>
      </c>
      <c r="R23" s="107">
        <v>5615.65</v>
      </c>
      <c r="S23" s="108">
        <v>5772.5280000000002</v>
      </c>
      <c r="T23" s="108">
        <v>5731.5780000000004</v>
      </c>
      <c r="U23" s="107">
        <v>5546.27</v>
      </c>
      <c r="V23" s="108">
        <v>5602.4089999999997</v>
      </c>
      <c r="W23" s="108">
        <v>5946.9709999999995</v>
      </c>
      <c r="X23" s="108">
        <v>5820.3389999999999</v>
      </c>
      <c r="Y23" s="108">
        <v>6026.268</v>
      </c>
      <c r="Z23" s="108">
        <v>6303.3519999999999</v>
      </c>
      <c r="AA23" s="108">
        <v>6613.6419999999998</v>
      </c>
      <c r="AB23" s="107">
        <v>6732.88</v>
      </c>
      <c r="AC23" s="108">
        <v>6715.0389999999998</v>
      </c>
      <c r="AD23" s="108">
        <v>6654.991</v>
      </c>
      <c r="AE23" s="108">
        <v>6725.8059999999996</v>
      </c>
      <c r="AF23" s="108">
        <v>6717.2560000000003</v>
      </c>
      <c r="AG23" s="108">
        <v>6538.375</v>
      </c>
      <c r="AH23" s="107">
        <v>6427.79</v>
      </c>
      <c r="AI23" s="108">
        <v>6260.1220000000003</v>
      </c>
      <c r="AJ23" s="107">
        <v>6204.12</v>
      </c>
    </row>
    <row r="24" spans="1:36" x14ac:dyDescent="0.25">
      <c r="A24" s="104" t="s">
        <v>165</v>
      </c>
      <c r="B24" s="105">
        <v>769.27200000000005</v>
      </c>
      <c r="C24" s="106">
        <v>1085.49</v>
      </c>
      <c r="D24" s="105">
        <v>1517.5730000000001</v>
      </c>
      <c r="E24" s="105">
        <v>2137.6529999999998</v>
      </c>
      <c r="F24" s="105">
        <v>3151.337</v>
      </c>
      <c r="G24" s="105">
        <v>3677.1489999999999</v>
      </c>
      <c r="H24" s="105">
        <v>4388.6850000000004</v>
      </c>
      <c r="I24" s="105">
        <v>6693.7330000000002</v>
      </c>
      <c r="J24" s="105">
        <v>10399.518</v>
      </c>
      <c r="K24" s="105">
        <v>13355.739</v>
      </c>
      <c r="L24" s="105">
        <v>21280.039000000001</v>
      </c>
      <c r="M24" s="105">
        <v>25744.024000000001</v>
      </c>
      <c r="N24" s="105">
        <v>35068.957000000002</v>
      </c>
      <c r="O24" s="106">
        <v>43314.85</v>
      </c>
      <c r="P24" s="105">
        <v>57537.557000000001</v>
      </c>
      <c r="Q24" s="105">
        <v>68113.044999999998</v>
      </c>
      <c r="R24" s="105">
        <v>78738.127999999997</v>
      </c>
      <c r="S24" s="105">
        <v>99939.937000000005</v>
      </c>
      <c r="T24" s="105">
        <v>113274.837</v>
      </c>
      <c r="U24" s="105">
        <v>124604.97500000001</v>
      </c>
      <c r="V24" s="105">
        <v>139892.78700000001</v>
      </c>
      <c r="W24" s="105">
        <v>165426.11199999999</v>
      </c>
      <c r="X24" s="105">
        <v>187535.30600000001</v>
      </c>
      <c r="Y24" s="105">
        <v>209560.26699999999</v>
      </c>
      <c r="Z24" s="106">
        <v>222441.58</v>
      </c>
      <c r="AA24" s="106">
        <v>263313.24</v>
      </c>
      <c r="AB24" s="105">
        <v>266916.12300000002</v>
      </c>
      <c r="AC24" s="105">
        <v>312436.08399999997</v>
      </c>
      <c r="AD24" s="105">
        <v>320758.658</v>
      </c>
      <c r="AE24" s="105">
        <v>367283.27299999999</v>
      </c>
      <c r="AF24" s="105">
        <v>398173.54599999997</v>
      </c>
      <c r="AG24" s="105">
        <v>386958.788</v>
      </c>
      <c r="AH24" s="105">
        <v>421853.049</v>
      </c>
      <c r="AI24" s="105">
        <v>478096.60700000002</v>
      </c>
      <c r="AJ24" s="105">
        <v>487567.03700000001</v>
      </c>
    </row>
    <row r="25" spans="1:36" x14ac:dyDescent="0.25">
      <c r="A25" s="104" t="s">
        <v>166</v>
      </c>
      <c r="B25" s="107">
        <v>79</v>
      </c>
      <c r="C25" s="107">
        <v>114</v>
      </c>
      <c r="D25" s="108">
        <v>268.08300000000003</v>
      </c>
      <c r="E25" s="108">
        <v>321.24900000000002</v>
      </c>
      <c r="F25" s="108">
        <v>455.33300000000003</v>
      </c>
      <c r="G25" s="108">
        <v>633.69100000000003</v>
      </c>
      <c r="H25" s="108">
        <v>868.61800000000005</v>
      </c>
      <c r="I25" s="108">
        <v>1415.1759999999999</v>
      </c>
      <c r="J25" s="108">
        <v>2435.5729999999999</v>
      </c>
      <c r="K25" s="108">
        <v>4051.239</v>
      </c>
      <c r="L25" s="108">
        <v>6500.2449999999999</v>
      </c>
      <c r="M25" s="108">
        <v>9257.4269999999997</v>
      </c>
      <c r="N25" s="107">
        <v>12315.73</v>
      </c>
      <c r="O25" s="108">
        <v>34824.881000000001</v>
      </c>
      <c r="P25" s="108">
        <v>47486.978999999999</v>
      </c>
      <c r="Q25" s="108">
        <v>57437.258999999998</v>
      </c>
      <c r="R25" s="108">
        <v>65708.934999999998</v>
      </c>
      <c r="S25" s="108">
        <v>82426.850999999995</v>
      </c>
      <c r="T25" s="108">
        <v>93987.682000000001</v>
      </c>
      <c r="U25" s="108">
        <v>101145.298</v>
      </c>
      <c r="V25" s="108">
        <v>116090.436</v>
      </c>
      <c r="W25" s="108">
        <v>157159.38800000001</v>
      </c>
      <c r="X25" s="108">
        <v>177327.85500000001</v>
      </c>
      <c r="Y25" s="108">
        <v>195574.40700000001</v>
      </c>
      <c r="Z25" s="108">
        <v>204597.853</v>
      </c>
      <c r="AA25" s="108">
        <v>237160.141</v>
      </c>
      <c r="AB25" s="108">
        <v>236670.12299999999</v>
      </c>
      <c r="AC25" s="108">
        <v>282210.70199999999</v>
      </c>
      <c r="AD25" s="108">
        <v>288806.16399999999</v>
      </c>
      <c r="AE25" s="108">
        <v>327066.43599999999</v>
      </c>
      <c r="AF25" s="108">
        <v>350788.10700000002</v>
      </c>
      <c r="AG25" s="108">
        <v>339104.13799999998</v>
      </c>
      <c r="AH25" s="108">
        <v>371659.55800000002</v>
      </c>
      <c r="AI25" s="108">
        <v>423040.99400000001</v>
      </c>
      <c r="AJ25" s="108">
        <v>424011.766</v>
      </c>
    </row>
    <row r="26" spans="1:36" x14ac:dyDescent="0.25">
      <c r="A26" s="104" t="s">
        <v>167</v>
      </c>
      <c r="B26" s="106">
        <v>0</v>
      </c>
      <c r="C26" s="106">
        <v>0</v>
      </c>
      <c r="D26" s="106">
        <v>0</v>
      </c>
      <c r="E26" s="106">
        <v>0</v>
      </c>
      <c r="F26" s="106">
        <v>0</v>
      </c>
      <c r="G26" s="106">
        <v>0</v>
      </c>
      <c r="H26" s="106">
        <v>0</v>
      </c>
      <c r="I26" s="106">
        <v>0</v>
      </c>
      <c r="J26" s="106">
        <v>0</v>
      </c>
      <c r="K26" s="106">
        <v>0</v>
      </c>
      <c r="L26" s="106">
        <v>0</v>
      </c>
      <c r="M26" s="106">
        <v>0</v>
      </c>
      <c r="N26" s="106">
        <v>0</v>
      </c>
      <c r="O26" s="106">
        <v>0</v>
      </c>
      <c r="P26" s="106">
        <v>56</v>
      </c>
      <c r="Q26" s="106">
        <v>62</v>
      </c>
      <c r="R26" s="105">
        <v>123.202</v>
      </c>
      <c r="S26" s="105">
        <v>436.54899999999998</v>
      </c>
      <c r="T26" s="105">
        <v>962.97400000000005</v>
      </c>
      <c r="U26" s="106">
        <v>1236.8</v>
      </c>
      <c r="V26" s="105">
        <v>4160.2740000000003</v>
      </c>
      <c r="W26" s="105">
        <v>6010.5439999999999</v>
      </c>
      <c r="X26" s="105">
        <v>6346.6779999999999</v>
      </c>
      <c r="Y26" s="105">
        <v>8092.1379999999999</v>
      </c>
      <c r="Z26" s="106">
        <v>10312.24</v>
      </c>
      <c r="AA26" s="105">
        <v>17638.657999999999</v>
      </c>
      <c r="AB26" s="106">
        <v>22231.03</v>
      </c>
      <c r="AC26" s="105">
        <v>30225.382000000001</v>
      </c>
      <c r="AD26" s="105">
        <v>31952.493999999999</v>
      </c>
      <c r="AE26" s="105">
        <v>40216.837</v>
      </c>
      <c r="AF26" s="105">
        <v>47385.438999999998</v>
      </c>
      <c r="AG26" s="105">
        <v>47854.648999999998</v>
      </c>
      <c r="AH26" s="105">
        <v>50193.491000000002</v>
      </c>
      <c r="AI26" s="105">
        <v>55055.612999999998</v>
      </c>
      <c r="AJ26" s="105">
        <v>63555.249000000003</v>
      </c>
    </row>
    <row r="27" spans="1:36" x14ac:dyDescent="0.25">
      <c r="A27" s="104" t="s">
        <v>168</v>
      </c>
      <c r="B27" s="107">
        <v>0</v>
      </c>
      <c r="C27" s="107">
        <v>0</v>
      </c>
      <c r="D27" s="107">
        <v>0</v>
      </c>
      <c r="E27" s="107">
        <v>0</v>
      </c>
      <c r="F27" s="107">
        <v>0</v>
      </c>
      <c r="G27" s="107">
        <v>0</v>
      </c>
      <c r="H27" s="107">
        <v>0</v>
      </c>
      <c r="I27" s="107">
        <v>0</v>
      </c>
      <c r="J27" s="107">
        <v>0</v>
      </c>
      <c r="K27" s="107">
        <v>0</v>
      </c>
      <c r="L27" s="107">
        <v>0</v>
      </c>
      <c r="M27" s="107">
        <v>0</v>
      </c>
      <c r="N27" s="107">
        <v>0</v>
      </c>
      <c r="O27" s="107">
        <v>0</v>
      </c>
      <c r="P27" s="107">
        <v>0</v>
      </c>
      <c r="Q27" s="107">
        <v>0</v>
      </c>
      <c r="R27" s="107">
        <v>0</v>
      </c>
      <c r="S27" s="107">
        <v>8.01</v>
      </c>
      <c r="T27" s="108">
        <v>16.146999999999998</v>
      </c>
      <c r="U27" s="107">
        <v>103</v>
      </c>
      <c r="V27" s="107">
        <v>761.2</v>
      </c>
      <c r="W27" s="107">
        <v>1959</v>
      </c>
      <c r="X27" s="108">
        <v>3775.0430000000001</v>
      </c>
      <c r="Y27" s="108">
        <v>4769.7470000000003</v>
      </c>
      <c r="Z27" s="108">
        <v>5454.8059999999996</v>
      </c>
      <c r="AA27" s="108">
        <v>5593.2370000000001</v>
      </c>
      <c r="AB27" s="107">
        <v>5579.2</v>
      </c>
      <c r="AC27" s="107">
        <v>5883</v>
      </c>
      <c r="AD27" s="107">
        <v>4867</v>
      </c>
      <c r="AE27" s="107">
        <v>5683</v>
      </c>
      <c r="AF27" s="107">
        <v>4992</v>
      </c>
      <c r="AG27" s="107">
        <v>5176</v>
      </c>
      <c r="AH27" s="107">
        <v>4536</v>
      </c>
      <c r="AI27" s="107">
        <v>5165</v>
      </c>
      <c r="AJ27" s="107">
        <v>4540.03</v>
      </c>
    </row>
    <row r="28" spans="1:36" x14ac:dyDescent="0.25">
      <c r="A28" s="104" t="s">
        <v>169</v>
      </c>
      <c r="B28" s="105">
        <v>15.875</v>
      </c>
      <c r="C28" s="106">
        <v>19.149999999999999</v>
      </c>
      <c r="D28" s="106">
        <v>28.11</v>
      </c>
      <c r="E28" s="105">
        <v>31.212</v>
      </c>
      <c r="F28" s="105">
        <v>38.070999999999998</v>
      </c>
      <c r="G28" s="106">
        <v>45.96</v>
      </c>
      <c r="H28" s="106">
        <v>51.28</v>
      </c>
      <c r="I28" s="106">
        <v>61.44</v>
      </c>
      <c r="J28" s="105">
        <v>84.515000000000001</v>
      </c>
      <c r="K28" s="105">
        <v>86.960999999999999</v>
      </c>
      <c r="L28" s="106">
        <v>113.22</v>
      </c>
      <c r="M28" s="105">
        <v>180.50200000000001</v>
      </c>
      <c r="N28" s="105">
        <v>266.23599999999999</v>
      </c>
      <c r="O28" s="105">
        <v>415.33499999999998</v>
      </c>
      <c r="P28" s="105">
        <v>690.91300000000001</v>
      </c>
      <c r="Q28" s="105">
        <v>1458.6880000000001</v>
      </c>
      <c r="R28" s="106">
        <v>2489.4699999999998</v>
      </c>
      <c r="S28" s="105">
        <v>3766.5169999999998</v>
      </c>
      <c r="T28" s="105">
        <v>7421.4740000000002</v>
      </c>
      <c r="U28" s="105">
        <v>14000.981</v>
      </c>
      <c r="V28" s="105">
        <v>22486.762999999999</v>
      </c>
      <c r="W28" s="105">
        <v>45372.832999999999</v>
      </c>
      <c r="X28" s="105">
        <v>66372.063999999998</v>
      </c>
      <c r="Y28" s="105">
        <v>79361.982999999993</v>
      </c>
      <c r="Z28" s="105">
        <v>88717.233999999997</v>
      </c>
      <c r="AA28" s="105">
        <v>95262.005000000005</v>
      </c>
      <c r="AB28" s="105">
        <v>95456.116999999998</v>
      </c>
      <c r="AC28" s="105">
        <v>102050.21400000001</v>
      </c>
      <c r="AD28" s="105">
        <v>108079.159</v>
      </c>
      <c r="AE28" s="105">
        <v>118010.742</v>
      </c>
      <c r="AF28" s="105">
        <v>139804.459</v>
      </c>
      <c r="AG28" s="105">
        <v>159074.432</v>
      </c>
      <c r="AH28" s="106">
        <v>206036.96</v>
      </c>
      <c r="AI28" s="105">
        <v>246974.42199999999</v>
      </c>
      <c r="AJ28" s="105">
        <v>295280.45199999999</v>
      </c>
    </row>
    <row r="29" spans="1:36" x14ac:dyDescent="0.25">
      <c r="A29" s="104" t="s">
        <v>170</v>
      </c>
      <c r="B29" s="107">
        <v>0</v>
      </c>
      <c r="C29" s="107">
        <v>0</v>
      </c>
      <c r="D29" s="107">
        <v>0</v>
      </c>
      <c r="E29" s="107">
        <v>0</v>
      </c>
      <c r="F29" s="107">
        <v>0</v>
      </c>
      <c r="G29" s="107">
        <v>0</v>
      </c>
      <c r="H29" s="107">
        <v>0</v>
      </c>
      <c r="I29" s="107">
        <v>0</v>
      </c>
      <c r="J29" s="107">
        <v>0</v>
      </c>
      <c r="K29" s="107">
        <v>0</v>
      </c>
      <c r="L29" s="107">
        <v>0</v>
      </c>
      <c r="M29" s="107">
        <v>0</v>
      </c>
      <c r="N29" s="107">
        <v>0</v>
      </c>
      <c r="O29" s="107">
        <v>0</v>
      </c>
      <c r="P29" s="107">
        <v>0</v>
      </c>
      <c r="Q29" s="107">
        <v>0</v>
      </c>
      <c r="R29" s="107">
        <v>0</v>
      </c>
      <c r="S29" s="107">
        <v>0</v>
      </c>
      <c r="T29" s="107">
        <v>0</v>
      </c>
      <c r="U29" s="108">
        <v>80.948999999999998</v>
      </c>
      <c r="V29" s="107">
        <v>561.08000000000004</v>
      </c>
      <c r="W29" s="108">
        <v>1671.529</v>
      </c>
      <c r="X29" s="108">
        <v>2489.319</v>
      </c>
      <c r="Y29" s="108">
        <v>3430.0230000000001</v>
      </c>
      <c r="Z29" s="108">
        <v>3774.7159999999999</v>
      </c>
      <c r="AA29" s="108">
        <v>4119.152</v>
      </c>
      <c r="AB29" s="108">
        <v>4235.777</v>
      </c>
      <c r="AC29" s="108">
        <v>5493.3180000000002</v>
      </c>
      <c r="AD29" s="107">
        <v>4800.46</v>
      </c>
      <c r="AE29" s="108">
        <v>5261.4409999999998</v>
      </c>
      <c r="AF29" s="108">
        <v>5824.3310000000001</v>
      </c>
      <c r="AG29" s="107">
        <v>27.4</v>
      </c>
      <c r="AH29" s="109" t="s">
        <v>255</v>
      </c>
      <c r="AI29" s="109" t="s">
        <v>255</v>
      </c>
      <c r="AJ29" s="109" t="s">
        <v>255</v>
      </c>
    </row>
    <row r="30" spans="1:36" x14ac:dyDescent="0.25">
      <c r="A30" s="104" t="s">
        <v>171</v>
      </c>
      <c r="B30" s="106">
        <v>0</v>
      </c>
      <c r="C30" s="106">
        <v>0</v>
      </c>
      <c r="D30" s="106">
        <v>0</v>
      </c>
      <c r="E30" s="106">
        <v>0</v>
      </c>
      <c r="F30" s="106">
        <v>0</v>
      </c>
      <c r="G30" s="106">
        <v>0</v>
      </c>
      <c r="H30" s="106">
        <v>0</v>
      </c>
      <c r="I30" s="106">
        <v>0</v>
      </c>
      <c r="J30" s="106">
        <v>0</v>
      </c>
      <c r="K30" s="106">
        <v>0</v>
      </c>
      <c r="L30" s="106">
        <v>0</v>
      </c>
      <c r="M30" s="106">
        <v>0</v>
      </c>
      <c r="N30" s="106">
        <v>0</v>
      </c>
      <c r="O30" s="106">
        <v>0</v>
      </c>
      <c r="P30" s="106">
        <v>0</v>
      </c>
      <c r="Q30" s="106">
        <v>0</v>
      </c>
      <c r="R30" s="106">
        <v>0</v>
      </c>
      <c r="S30" s="106">
        <v>0</v>
      </c>
      <c r="T30" s="106">
        <v>0</v>
      </c>
      <c r="U30" s="105">
        <v>69.888000000000005</v>
      </c>
      <c r="V30" s="105">
        <v>1116.127</v>
      </c>
      <c r="W30" s="105">
        <v>6495.9740000000002</v>
      </c>
      <c r="X30" s="105">
        <v>11605.049000000001</v>
      </c>
      <c r="Y30" s="105">
        <v>12774.382</v>
      </c>
      <c r="Z30" s="105">
        <v>13087.482</v>
      </c>
      <c r="AA30" s="105">
        <v>13496.243</v>
      </c>
      <c r="AB30" s="105">
        <v>13054.194</v>
      </c>
      <c r="AC30" s="105">
        <v>16721.363000000001</v>
      </c>
      <c r="AD30" s="105">
        <v>13640.911</v>
      </c>
      <c r="AE30" s="106">
        <v>15095.34</v>
      </c>
      <c r="AF30" s="105">
        <v>17272.169000000002</v>
      </c>
      <c r="AG30" s="106">
        <v>113.4</v>
      </c>
      <c r="AH30" s="110" t="s">
        <v>255</v>
      </c>
      <c r="AI30" s="110" t="s">
        <v>255</v>
      </c>
      <c r="AJ30" s="110" t="s">
        <v>255</v>
      </c>
    </row>
    <row r="31" spans="1:36" x14ac:dyDescent="0.25">
      <c r="A31" s="104" t="s">
        <v>172</v>
      </c>
      <c r="B31" s="107">
        <v>0</v>
      </c>
      <c r="C31" s="107">
        <v>0</v>
      </c>
      <c r="D31" s="107">
        <v>0</v>
      </c>
      <c r="E31" s="107">
        <v>0</v>
      </c>
      <c r="F31" s="107">
        <v>0</v>
      </c>
      <c r="G31" s="107">
        <v>0</v>
      </c>
      <c r="H31" s="107">
        <v>0</v>
      </c>
      <c r="I31" s="107">
        <v>0</v>
      </c>
      <c r="J31" s="107">
        <v>0</v>
      </c>
      <c r="K31" s="107">
        <v>0</v>
      </c>
      <c r="L31" s="107">
        <v>0</v>
      </c>
      <c r="M31" s="107">
        <v>2</v>
      </c>
      <c r="N31" s="107">
        <v>2</v>
      </c>
      <c r="O31" s="107">
        <v>1</v>
      </c>
      <c r="P31" s="107">
        <v>1</v>
      </c>
      <c r="Q31" s="107">
        <v>1</v>
      </c>
      <c r="R31" s="107">
        <v>1</v>
      </c>
      <c r="S31" s="107">
        <v>1</v>
      </c>
      <c r="T31" s="107">
        <v>343</v>
      </c>
      <c r="U31" s="108">
        <v>827.17100000000005</v>
      </c>
      <c r="V31" s="108">
        <v>1446.0540000000001</v>
      </c>
      <c r="W31" s="108">
        <v>5149.5739999999996</v>
      </c>
      <c r="X31" s="108">
        <v>8739.7379999999994</v>
      </c>
      <c r="Y31" s="108">
        <v>9888.2870000000003</v>
      </c>
      <c r="Z31" s="107">
        <v>10865.55</v>
      </c>
      <c r="AA31" s="108">
        <v>12064.156000000001</v>
      </c>
      <c r="AB31" s="108">
        <v>12366.933999999999</v>
      </c>
      <c r="AC31" s="108">
        <v>14790.662</v>
      </c>
      <c r="AD31" s="108">
        <v>16676.608</v>
      </c>
      <c r="AE31" s="108">
        <v>21477.494999999999</v>
      </c>
      <c r="AF31" s="107">
        <v>29417.46</v>
      </c>
      <c r="AG31" s="108">
        <v>53268.633999999998</v>
      </c>
      <c r="AH31" s="108">
        <v>72980.595000000001</v>
      </c>
      <c r="AI31" s="108">
        <v>89796.164000000004</v>
      </c>
      <c r="AJ31" s="109" t="s">
        <v>255</v>
      </c>
    </row>
    <row r="32" spans="1:36" x14ac:dyDescent="0.25">
      <c r="A32" s="104" t="s">
        <v>289</v>
      </c>
      <c r="B32" s="106">
        <v>0</v>
      </c>
      <c r="C32" s="106">
        <v>0</v>
      </c>
      <c r="D32" s="106">
        <v>0</v>
      </c>
      <c r="E32" s="106">
        <v>0</v>
      </c>
      <c r="F32" s="106">
        <v>0</v>
      </c>
      <c r="G32" s="106">
        <v>0</v>
      </c>
      <c r="H32" s="106">
        <v>0</v>
      </c>
      <c r="I32" s="106">
        <v>0</v>
      </c>
      <c r="J32" s="106">
        <v>0</v>
      </c>
      <c r="K32" s="106">
        <v>0</v>
      </c>
      <c r="L32" s="106">
        <v>0</v>
      </c>
      <c r="M32" s="106">
        <v>0</v>
      </c>
      <c r="N32" s="106">
        <v>0</v>
      </c>
      <c r="O32" s="106">
        <v>0</v>
      </c>
      <c r="P32" s="106">
        <v>0</v>
      </c>
      <c r="Q32" s="106">
        <v>0</v>
      </c>
      <c r="R32" s="106">
        <v>0</v>
      </c>
      <c r="S32" s="106">
        <v>0</v>
      </c>
      <c r="T32" s="106">
        <v>0</v>
      </c>
      <c r="U32" s="106">
        <v>0</v>
      </c>
      <c r="V32" s="106">
        <v>0</v>
      </c>
      <c r="W32" s="106">
        <v>0</v>
      </c>
      <c r="X32" s="106">
        <v>0</v>
      </c>
      <c r="Y32" s="106">
        <v>0</v>
      </c>
      <c r="Z32" s="106">
        <v>0</v>
      </c>
      <c r="AA32" s="106">
        <v>0</v>
      </c>
      <c r="AB32" s="106">
        <v>0</v>
      </c>
      <c r="AC32" s="106">
        <v>0</v>
      </c>
      <c r="AD32" s="106">
        <v>0</v>
      </c>
      <c r="AE32" s="106">
        <v>0</v>
      </c>
      <c r="AF32" s="106">
        <v>0</v>
      </c>
      <c r="AG32" s="106">
        <v>0</v>
      </c>
      <c r="AH32" s="110" t="s">
        <v>255</v>
      </c>
      <c r="AI32" s="110" t="s">
        <v>255</v>
      </c>
      <c r="AJ32" s="110" t="s">
        <v>255</v>
      </c>
    </row>
    <row r="33" spans="1:36" x14ac:dyDescent="0.25">
      <c r="A33" s="104" t="s">
        <v>173</v>
      </c>
      <c r="B33" s="108">
        <v>502.673</v>
      </c>
      <c r="C33" s="108">
        <v>517.29499999999996</v>
      </c>
      <c r="D33" s="108">
        <v>516.22799999999995</v>
      </c>
      <c r="E33" s="108">
        <v>494.24400000000003</v>
      </c>
      <c r="F33" s="108">
        <v>501.38400000000001</v>
      </c>
      <c r="G33" s="108">
        <v>507.416</v>
      </c>
      <c r="H33" s="108">
        <v>490.65100000000001</v>
      </c>
      <c r="I33" s="108">
        <v>509.51400000000001</v>
      </c>
      <c r="J33" s="108">
        <v>521.69299999999998</v>
      </c>
      <c r="K33" s="108">
        <v>514.99300000000005</v>
      </c>
      <c r="L33" s="108">
        <v>507.30700000000002</v>
      </c>
      <c r="M33" s="108">
        <v>484.93299999999999</v>
      </c>
      <c r="N33" s="108">
        <v>494.43299999999999</v>
      </c>
      <c r="O33" s="108">
        <v>490.36799999999999</v>
      </c>
      <c r="P33" s="108">
        <v>470.17599999999999</v>
      </c>
      <c r="Q33" s="108">
        <v>480.89499999999998</v>
      </c>
      <c r="R33" s="108">
        <v>464.26499999999999</v>
      </c>
      <c r="S33" s="108">
        <v>465.29199999999997</v>
      </c>
      <c r="T33" s="108">
        <v>465.11900000000003</v>
      </c>
      <c r="U33" s="108">
        <v>448.197</v>
      </c>
      <c r="V33" s="108">
        <v>476.39699999999999</v>
      </c>
      <c r="W33" s="108">
        <v>477.27800000000002</v>
      </c>
      <c r="X33" s="108">
        <v>457.98899999999998</v>
      </c>
      <c r="Y33" s="108">
        <v>413.57400000000001</v>
      </c>
      <c r="Z33" s="108">
        <v>480.53300000000002</v>
      </c>
      <c r="AA33" s="108">
        <v>487.44499999999999</v>
      </c>
      <c r="AB33" s="108">
        <v>500.56099999999998</v>
      </c>
      <c r="AC33" s="108">
        <v>521.71199999999999</v>
      </c>
      <c r="AD33" s="107">
        <v>479.93</v>
      </c>
      <c r="AE33" s="108">
        <v>498.964</v>
      </c>
      <c r="AF33" s="108">
        <v>508.76400000000001</v>
      </c>
      <c r="AG33" s="108">
        <v>502.791</v>
      </c>
      <c r="AH33" s="108">
        <v>513.47799999999995</v>
      </c>
      <c r="AI33" s="108">
        <v>461.27699999999999</v>
      </c>
      <c r="AJ33" s="107">
        <v>467.65</v>
      </c>
    </row>
    <row r="34" spans="1:36" x14ac:dyDescent="0.25">
      <c r="A34" s="104" t="s">
        <v>174</v>
      </c>
      <c r="B34" s="110" t="s">
        <v>255</v>
      </c>
      <c r="C34" s="110" t="s">
        <v>255</v>
      </c>
      <c r="D34" s="110" t="s">
        <v>255</v>
      </c>
      <c r="E34" s="110" t="s">
        <v>255</v>
      </c>
      <c r="F34" s="110" t="s">
        <v>255</v>
      </c>
      <c r="G34" s="110" t="s">
        <v>255</v>
      </c>
      <c r="H34" s="110" t="s">
        <v>255</v>
      </c>
      <c r="I34" s="110" t="s">
        <v>255</v>
      </c>
      <c r="J34" s="110" t="s">
        <v>255</v>
      </c>
      <c r="K34" s="110" t="s">
        <v>255</v>
      </c>
      <c r="L34" s="110" t="s">
        <v>255</v>
      </c>
      <c r="M34" s="110" t="s">
        <v>255</v>
      </c>
      <c r="N34" s="110" t="s">
        <v>255</v>
      </c>
      <c r="O34" s="110" t="s">
        <v>255</v>
      </c>
      <c r="P34" s="110" t="s">
        <v>255</v>
      </c>
      <c r="Q34" s="110" t="s">
        <v>255</v>
      </c>
      <c r="R34" s="110" t="s">
        <v>255</v>
      </c>
      <c r="S34" s="110" t="s">
        <v>255</v>
      </c>
      <c r="T34" s="110" t="s">
        <v>255</v>
      </c>
      <c r="U34" s="110" t="s">
        <v>255</v>
      </c>
      <c r="V34" s="110" t="s">
        <v>255</v>
      </c>
      <c r="W34" s="110" t="s">
        <v>255</v>
      </c>
      <c r="X34" s="110" t="s">
        <v>255</v>
      </c>
      <c r="Y34" s="110" t="s">
        <v>255</v>
      </c>
      <c r="Z34" s="110" t="s">
        <v>255</v>
      </c>
      <c r="AA34" s="110" t="s">
        <v>255</v>
      </c>
      <c r="AB34" s="110" t="s">
        <v>255</v>
      </c>
      <c r="AC34" s="110" t="s">
        <v>255</v>
      </c>
      <c r="AD34" s="110" t="s">
        <v>255</v>
      </c>
      <c r="AE34" s="110" t="s">
        <v>255</v>
      </c>
      <c r="AF34" s="110" t="s">
        <v>255</v>
      </c>
      <c r="AG34" s="110" t="s">
        <v>255</v>
      </c>
      <c r="AH34" s="110" t="s">
        <v>255</v>
      </c>
      <c r="AI34" s="110" t="s">
        <v>255</v>
      </c>
      <c r="AJ34" s="110" t="s">
        <v>255</v>
      </c>
    </row>
    <row r="35" spans="1:36" x14ac:dyDescent="0.25">
      <c r="A35" s="104" t="s">
        <v>175</v>
      </c>
      <c r="B35" s="107">
        <v>729114</v>
      </c>
      <c r="C35" s="107">
        <v>749292</v>
      </c>
      <c r="D35" s="107">
        <v>750516</v>
      </c>
      <c r="E35" s="107">
        <v>772820</v>
      </c>
      <c r="F35" s="107">
        <v>770442</v>
      </c>
      <c r="G35" s="107">
        <v>791857</v>
      </c>
      <c r="H35" s="107">
        <v>831268</v>
      </c>
      <c r="I35" s="107">
        <v>839476</v>
      </c>
      <c r="J35" s="107">
        <v>833365</v>
      </c>
      <c r="K35" s="107">
        <v>848251</v>
      </c>
      <c r="L35" s="107">
        <v>859930</v>
      </c>
      <c r="M35" s="107">
        <v>888892</v>
      </c>
      <c r="N35" s="107">
        <v>902348</v>
      </c>
      <c r="O35" s="107">
        <v>907174</v>
      </c>
      <c r="P35" s="107">
        <v>928438</v>
      </c>
      <c r="Q35" s="107">
        <v>916081</v>
      </c>
      <c r="R35" s="107">
        <v>914426</v>
      </c>
      <c r="S35" s="107">
        <v>872249</v>
      </c>
      <c r="T35" s="107">
        <v>884729</v>
      </c>
      <c r="U35" s="107">
        <v>824912</v>
      </c>
      <c r="V35" s="107">
        <v>854470</v>
      </c>
      <c r="W35" s="108">
        <v>837768.76300000004</v>
      </c>
      <c r="X35" s="108">
        <v>811961.01699999999</v>
      </c>
      <c r="Y35" s="108">
        <v>806222.67099999997</v>
      </c>
      <c r="Z35" s="108">
        <v>812550.00899999996</v>
      </c>
      <c r="AA35" s="108">
        <v>786675.84900000005</v>
      </c>
      <c r="AB35" s="107">
        <v>767958.76</v>
      </c>
      <c r="AC35" s="108">
        <v>759382.64300000004</v>
      </c>
      <c r="AD35" s="108">
        <v>761943.04799999995</v>
      </c>
      <c r="AE35" s="108">
        <v>765337.85600000003</v>
      </c>
      <c r="AF35" s="108">
        <v>683512.14500000002</v>
      </c>
      <c r="AG35" s="108">
        <v>731700.79299999995</v>
      </c>
      <c r="AH35" s="108">
        <v>609255.49600000004</v>
      </c>
      <c r="AI35" s="108">
        <v>619601.31099999999</v>
      </c>
      <c r="AJ35" s="108">
        <v>649262.86199999996</v>
      </c>
    </row>
    <row r="36" spans="1:36" x14ac:dyDescent="0.25">
      <c r="A36" s="104" t="s">
        <v>176</v>
      </c>
      <c r="B36" s="110" t="s">
        <v>255</v>
      </c>
      <c r="C36" s="110" t="s">
        <v>255</v>
      </c>
      <c r="D36" s="110" t="s">
        <v>255</v>
      </c>
      <c r="E36" s="110" t="s">
        <v>255</v>
      </c>
      <c r="F36" s="110" t="s">
        <v>255</v>
      </c>
      <c r="G36" s="110" t="s">
        <v>255</v>
      </c>
      <c r="H36" s="110" t="s">
        <v>255</v>
      </c>
      <c r="I36" s="110" t="s">
        <v>255</v>
      </c>
      <c r="J36" s="110" t="s">
        <v>255</v>
      </c>
      <c r="K36" s="110" t="s">
        <v>255</v>
      </c>
      <c r="L36" s="110" t="s">
        <v>255</v>
      </c>
      <c r="M36" s="110" t="s">
        <v>255</v>
      </c>
      <c r="N36" s="110" t="s">
        <v>255</v>
      </c>
      <c r="O36" s="110" t="s">
        <v>255</v>
      </c>
      <c r="P36" s="110" t="s">
        <v>255</v>
      </c>
      <c r="Q36" s="110" t="s">
        <v>255</v>
      </c>
      <c r="R36" s="110" t="s">
        <v>255</v>
      </c>
      <c r="S36" s="110" t="s">
        <v>255</v>
      </c>
      <c r="T36" s="110" t="s">
        <v>255</v>
      </c>
      <c r="U36" s="110" t="s">
        <v>255</v>
      </c>
      <c r="V36" s="110" t="s">
        <v>255</v>
      </c>
      <c r="W36" s="110" t="s">
        <v>255</v>
      </c>
      <c r="X36" s="110" t="s">
        <v>255</v>
      </c>
      <c r="Y36" s="110" t="s">
        <v>255</v>
      </c>
      <c r="Z36" s="110" t="s">
        <v>255</v>
      </c>
      <c r="AA36" s="110" t="s">
        <v>255</v>
      </c>
      <c r="AB36" s="110" t="s">
        <v>255</v>
      </c>
      <c r="AC36" s="110" t="s">
        <v>255</v>
      </c>
      <c r="AD36" s="110" t="s">
        <v>255</v>
      </c>
      <c r="AE36" s="110" t="s">
        <v>255</v>
      </c>
      <c r="AF36" s="110" t="s">
        <v>255</v>
      </c>
      <c r="AG36" s="110" t="s">
        <v>255</v>
      </c>
      <c r="AH36" s="110" t="s">
        <v>255</v>
      </c>
      <c r="AI36" s="110" t="s">
        <v>255</v>
      </c>
      <c r="AJ36" s="110" t="s">
        <v>255</v>
      </c>
    </row>
    <row r="37" spans="1:36" x14ac:dyDescent="0.25">
      <c r="A37" s="104" t="s">
        <v>177</v>
      </c>
      <c r="B37" s="107">
        <v>38</v>
      </c>
      <c r="C37" s="107">
        <v>34</v>
      </c>
      <c r="D37" s="107">
        <v>17</v>
      </c>
      <c r="E37" s="107">
        <v>17</v>
      </c>
      <c r="F37" s="107">
        <v>22</v>
      </c>
      <c r="G37" s="107">
        <v>29</v>
      </c>
      <c r="H37" s="107">
        <v>34</v>
      </c>
      <c r="I37" s="107">
        <v>44</v>
      </c>
      <c r="J37" s="107">
        <v>52</v>
      </c>
      <c r="K37" s="107">
        <v>60</v>
      </c>
      <c r="L37" s="107">
        <v>300</v>
      </c>
      <c r="M37" s="107">
        <v>265</v>
      </c>
      <c r="N37" s="107">
        <v>393</v>
      </c>
      <c r="O37" s="107">
        <v>431</v>
      </c>
      <c r="P37" s="107">
        <v>501</v>
      </c>
      <c r="Q37" s="108">
        <v>773.98900000000003</v>
      </c>
      <c r="R37" s="108">
        <v>778.26300000000003</v>
      </c>
      <c r="S37" s="108">
        <v>796.51800000000003</v>
      </c>
      <c r="T37" s="108">
        <v>899.05600000000004</v>
      </c>
      <c r="U37" s="107">
        <v>639.77</v>
      </c>
      <c r="V37" s="108">
        <v>873.93299999999999</v>
      </c>
      <c r="W37" s="108">
        <v>899.28399999999999</v>
      </c>
      <c r="X37" s="108">
        <v>907.18399999999997</v>
      </c>
      <c r="Y37" s="107">
        <v>1053.4000000000001</v>
      </c>
      <c r="Z37" s="108">
        <v>1112.201</v>
      </c>
      <c r="AA37" s="108">
        <v>1110.577</v>
      </c>
      <c r="AB37" s="108">
        <v>1160.373</v>
      </c>
      <c r="AC37" s="108">
        <v>1172.296</v>
      </c>
      <c r="AD37" s="107">
        <v>1099.28</v>
      </c>
      <c r="AE37" s="108">
        <v>1038.4970000000001</v>
      </c>
      <c r="AF37" s="108">
        <v>1088.7550000000001</v>
      </c>
      <c r="AG37" s="108">
        <v>1104.548</v>
      </c>
      <c r="AH37" s="108">
        <v>829.41399999999999</v>
      </c>
      <c r="AI37" s="108">
        <v>677.43700000000001</v>
      </c>
      <c r="AJ37" s="108">
        <v>607.15800000000002</v>
      </c>
    </row>
    <row r="38" spans="1:36" x14ac:dyDescent="0.25">
      <c r="A38" s="104" t="s">
        <v>178</v>
      </c>
      <c r="B38" s="106">
        <v>174</v>
      </c>
      <c r="C38" s="106">
        <v>121</v>
      </c>
      <c r="D38" s="106">
        <v>520</v>
      </c>
      <c r="E38" s="106">
        <v>567</v>
      </c>
      <c r="F38" s="106">
        <v>521</v>
      </c>
      <c r="G38" s="106">
        <v>678</v>
      </c>
      <c r="H38" s="106">
        <v>615</v>
      </c>
      <c r="I38" s="106">
        <v>962</v>
      </c>
      <c r="J38" s="106">
        <v>977</v>
      </c>
      <c r="K38" s="106">
        <v>874</v>
      </c>
      <c r="L38" s="106">
        <v>1072</v>
      </c>
      <c r="M38" s="106">
        <v>1099</v>
      </c>
      <c r="N38" s="106">
        <v>1029</v>
      </c>
      <c r="O38" s="106">
        <v>3191</v>
      </c>
      <c r="P38" s="106">
        <v>6309</v>
      </c>
      <c r="Q38" s="106">
        <v>9560.6</v>
      </c>
      <c r="R38" s="106">
        <v>5360</v>
      </c>
      <c r="S38" s="106">
        <v>4204.8</v>
      </c>
      <c r="T38" s="106">
        <v>3745.7</v>
      </c>
      <c r="U38" s="106">
        <v>3325</v>
      </c>
      <c r="V38" s="106">
        <v>3499.8</v>
      </c>
      <c r="W38" s="105">
        <v>4284.2089999999998</v>
      </c>
      <c r="X38" s="105">
        <v>3866.864</v>
      </c>
      <c r="Y38" s="105">
        <v>3546.0189999999998</v>
      </c>
      <c r="Z38" s="105">
        <v>3741.4079999999999</v>
      </c>
      <c r="AA38" s="106">
        <v>4870.7700000000004</v>
      </c>
      <c r="AB38" s="105">
        <v>4953.5510000000004</v>
      </c>
      <c r="AC38" s="105">
        <v>5233.6130000000003</v>
      </c>
      <c r="AD38" s="105">
        <v>3919.5590000000002</v>
      </c>
      <c r="AE38" s="106">
        <v>3824.86</v>
      </c>
      <c r="AF38" s="105">
        <v>3732.9290000000001</v>
      </c>
      <c r="AG38" s="105">
        <v>3926.3879999999999</v>
      </c>
      <c r="AH38" s="105">
        <v>3691.3409999999999</v>
      </c>
      <c r="AI38" s="105">
        <v>5328.0169999999998</v>
      </c>
      <c r="AJ38" s="105">
        <v>4495.9070000000002</v>
      </c>
    </row>
    <row r="39" spans="1:36" ht="11.5" customHeigh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1:36" ht="14.5" x14ac:dyDescent="0.35">
      <c r="A40" s="101" t="s">
        <v>69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1:36" ht="13" x14ac:dyDescent="0.25">
      <c r="A41" s="3" t="s">
        <v>255</v>
      </c>
      <c r="B41" s="2" t="s">
        <v>70</v>
      </c>
    </row>
    <row r="42" spans="1:36" ht="11.5" customHeight="1" x14ac:dyDescent="0.25"/>
    <row r="43" spans="1:36" ht="11.5" customHeight="1" x14ac:dyDescent="0.25"/>
    <row r="45" spans="1:36" x14ac:dyDescent="0.25">
      <c r="A45" s="15" t="s">
        <v>259</v>
      </c>
    </row>
    <row r="46" spans="1:36" x14ac:dyDescent="0.25">
      <c r="A46" s="16" t="s">
        <v>182</v>
      </c>
    </row>
    <row r="48" spans="1:36" ht="14.5" x14ac:dyDescent="0.35">
      <c r="A48" s="100" t="s">
        <v>293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 spans="1:36" ht="14.5" x14ac:dyDescent="0.35">
      <c r="A49" s="100" t="s">
        <v>1</v>
      </c>
      <c r="B49" s="101" t="s">
        <v>292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</row>
    <row r="50" spans="1:36" ht="14.5" x14ac:dyDescent="0.35">
      <c r="A50" s="100" t="s">
        <v>2</v>
      </c>
      <c r="B50" s="100" t="s">
        <v>284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</row>
    <row r="51" spans="1:36" ht="14.5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</row>
    <row r="52" spans="1:36" ht="14.5" x14ac:dyDescent="0.35">
      <c r="A52" s="101" t="s">
        <v>3</v>
      </c>
      <c r="B52"/>
      <c r="C52" s="100" t="s">
        <v>4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 spans="1:36" ht="14.5" x14ac:dyDescent="0.35">
      <c r="A53" s="101" t="s">
        <v>153</v>
      </c>
      <c r="B53"/>
      <c r="C53" s="100" t="s">
        <v>154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ht="14.5" x14ac:dyDescent="0.35">
      <c r="A54" s="101" t="s">
        <v>155</v>
      </c>
      <c r="B54"/>
      <c r="C54" s="100" t="s">
        <v>154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</row>
    <row r="55" spans="1:36" ht="14.5" x14ac:dyDescent="0.35">
      <c r="A55" s="101" t="s">
        <v>115</v>
      </c>
      <c r="B55"/>
      <c r="C55" s="100" t="s">
        <v>156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</row>
    <row r="56" spans="1:36" ht="14.5" x14ac:dyDescent="0.35">
      <c r="A56" s="101" t="s">
        <v>5</v>
      </c>
      <c r="B56"/>
      <c r="C56" s="100" t="s">
        <v>157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</row>
    <row r="57" spans="1:36" ht="14.5" x14ac:dyDescent="0.35">
      <c r="A57" s="101" t="s">
        <v>7</v>
      </c>
      <c r="B57"/>
      <c r="C57" s="100" t="s">
        <v>8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</row>
    <row r="58" spans="1:36" ht="14.5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</row>
    <row r="59" spans="1:36" x14ac:dyDescent="0.25">
      <c r="A59" s="111" t="s">
        <v>9</v>
      </c>
      <c r="B59" s="102" t="s">
        <v>10</v>
      </c>
      <c r="C59" s="102" t="s">
        <v>11</v>
      </c>
      <c r="D59" s="102" t="s">
        <v>12</v>
      </c>
      <c r="E59" s="102" t="s">
        <v>13</v>
      </c>
      <c r="F59" s="102" t="s">
        <v>14</v>
      </c>
      <c r="G59" s="102" t="s">
        <v>15</v>
      </c>
      <c r="H59" s="102" t="s">
        <v>16</v>
      </c>
      <c r="I59" s="102" t="s">
        <v>17</v>
      </c>
      <c r="J59" s="102" t="s">
        <v>18</v>
      </c>
      <c r="K59" s="102" t="s">
        <v>19</v>
      </c>
      <c r="L59" s="102" t="s">
        <v>20</v>
      </c>
      <c r="M59" s="102" t="s">
        <v>21</v>
      </c>
      <c r="N59" s="102" t="s">
        <v>22</v>
      </c>
      <c r="O59" s="102" t="s">
        <v>23</v>
      </c>
      <c r="P59" s="102" t="s">
        <v>24</v>
      </c>
      <c r="Q59" s="102" t="s">
        <v>25</v>
      </c>
      <c r="R59" s="102" t="s">
        <v>26</v>
      </c>
      <c r="S59" s="102" t="s">
        <v>27</v>
      </c>
      <c r="T59" s="102" t="s">
        <v>28</v>
      </c>
      <c r="U59" s="102" t="s">
        <v>29</v>
      </c>
      <c r="V59" s="102" t="s">
        <v>30</v>
      </c>
      <c r="W59" s="102" t="s">
        <v>31</v>
      </c>
      <c r="X59" s="102" t="s">
        <v>32</v>
      </c>
      <c r="Y59" s="102" t="s">
        <v>33</v>
      </c>
      <c r="Z59" s="102" t="s">
        <v>34</v>
      </c>
      <c r="AA59" s="102" t="s">
        <v>35</v>
      </c>
      <c r="AB59" s="102" t="s">
        <v>36</v>
      </c>
      <c r="AC59" s="102" t="s">
        <v>37</v>
      </c>
      <c r="AD59" s="102" t="s">
        <v>38</v>
      </c>
      <c r="AE59" s="102" t="s">
        <v>39</v>
      </c>
      <c r="AF59" s="102" t="s">
        <v>40</v>
      </c>
      <c r="AG59" s="102" t="s">
        <v>41</v>
      </c>
      <c r="AH59" s="102" t="s">
        <v>42</v>
      </c>
      <c r="AI59" s="102" t="s">
        <v>254</v>
      </c>
      <c r="AJ59" s="102" t="s">
        <v>285</v>
      </c>
    </row>
    <row r="60" spans="1:36" ht="14.5" x14ac:dyDescent="0.35">
      <c r="A60" s="103" t="s">
        <v>43</v>
      </c>
      <c r="B60" s="88" t="s">
        <v>45</v>
      </c>
      <c r="C60" s="88" t="s">
        <v>45</v>
      </c>
      <c r="D60" s="88" t="s">
        <v>45</v>
      </c>
      <c r="E60" s="88" t="s">
        <v>45</v>
      </c>
      <c r="F60" s="88" t="s">
        <v>45</v>
      </c>
      <c r="G60" s="88" t="s">
        <v>45</v>
      </c>
      <c r="H60" s="88" t="s">
        <v>45</v>
      </c>
      <c r="I60" s="88" t="s">
        <v>45</v>
      </c>
      <c r="J60" s="88" t="s">
        <v>45</v>
      </c>
      <c r="K60" s="88" t="s">
        <v>45</v>
      </c>
      <c r="L60" s="88" t="s">
        <v>45</v>
      </c>
      <c r="M60" s="88" t="s">
        <v>45</v>
      </c>
      <c r="N60" s="88" t="s">
        <v>45</v>
      </c>
      <c r="O60" s="88" t="s">
        <v>45</v>
      </c>
      <c r="P60" s="88" t="s">
        <v>45</v>
      </c>
      <c r="Q60" s="88" t="s">
        <v>45</v>
      </c>
      <c r="R60" s="88" t="s">
        <v>45</v>
      </c>
      <c r="S60" s="88" t="s">
        <v>45</v>
      </c>
      <c r="T60" s="88" t="s">
        <v>45</v>
      </c>
      <c r="U60" s="88" t="s">
        <v>45</v>
      </c>
      <c r="V60" s="88" t="s">
        <v>45</v>
      </c>
      <c r="W60" s="88" t="s">
        <v>45</v>
      </c>
      <c r="X60" s="88" t="s">
        <v>45</v>
      </c>
      <c r="Y60" s="88" t="s">
        <v>45</v>
      </c>
      <c r="Z60" s="88" t="s">
        <v>45</v>
      </c>
      <c r="AA60" s="88" t="s">
        <v>45</v>
      </c>
      <c r="AB60" s="88" t="s">
        <v>45</v>
      </c>
      <c r="AC60" s="88" t="s">
        <v>45</v>
      </c>
      <c r="AD60" s="88" t="s">
        <v>45</v>
      </c>
      <c r="AE60" s="88" t="s">
        <v>45</v>
      </c>
      <c r="AF60" s="88" t="s">
        <v>45</v>
      </c>
      <c r="AG60" s="88" t="s">
        <v>45</v>
      </c>
      <c r="AH60" s="88" t="s">
        <v>45</v>
      </c>
      <c r="AI60" s="88" t="s">
        <v>45</v>
      </c>
      <c r="AJ60" s="88" t="s">
        <v>45</v>
      </c>
    </row>
    <row r="61" spans="1:36" x14ac:dyDescent="0.25">
      <c r="A61" s="104" t="s">
        <v>55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7249</v>
      </c>
      <c r="P61" s="107">
        <v>19018</v>
      </c>
      <c r="Q61" s="107">
        <v>18184</v>
      </c>
      <c r="R61" s="108">
        <v>15389.174000000001</v>
      </c>
      <c r="S61" s="108">
        <v>18495.173999999999</v>
      </c>
      <c r="T61" s="107">
        <v>16686</v>
      </c>
      <c r="U61" s="107">
        <v>12716</v>
      </c>
      <c r="V61" s="107">
        <v>10494</v>
      </c>
      <c r="W61" s="107">
        <v>18384</v>
      </c>
      <c r="X61" s="107">
        <v>16987</v>
      </c>
      <c r="Y61" s="107">
        <v>11102</v>
      </c>
      <c r="Z61" s="107">
        <v>12531</v>
      </c>
      <c r="AA61" s="107">
        <v>12238</v>
      </c>
      <c r="AB61" s="107">
        <v>4878</v>
      </c>
      <c r="AC61" s="108">
        <v>4103.0950000000003</v>
      </c>
      <c r="AD61" s="107">
        <v>4013</v>
      </c>
      <c r="AE61" s="107">
        <v>680</v>
      </c>
      <c r="AF61" s="107">
        <v>715</v>
      </c>
      <c r="AG61" s="108">
        <v>635.66300000000001</v>
      </c>
      <c r="AH61" s="108">
        <v>609.50099999999998</v>
      </c>
      <c r="AI61" s="108">
        <v>265.161</v>
      </c>
      <c r="AJ61" s="108">
        <v>235.56299999999999</v>
      </c>
    </row>
    <row r="62" spans="1:36" x14ac:dyDescent="0.25">
      <c r="A62" s="104" t="s">
        <v>56</v>
      </c>
      <c r="B62" s="106">
        <v>52696</v>
      </c>
      <c r="C62" s="106">
        <v>54763</v>
      </c>
      <c r="D62" s="106">
        <v>49124</v>
      </c>
      <c r="E62" s="106">
        <v>55444</v>
      </c>
      <c r="F62" s="106">
        <v>59097</v>
      </c>
      <c r="G62" s="106">
        <v>59159</v>
      </c>
      <c r="H62" s="106">
        <v>50570</v>
      </c>
      <c r="I62" s="106">
        <v>47858</v>
      </c>
      <c r="J62" s="106">
        <v>46376</v>
      </c>
      <c r="K62" s="106">
        <v>45327</v>
      </c>
      <c r="L62" s="106">
        <v>37874</v>
      </c>
      <c r="M62" s="106">
        <v>35142</v>
      </c>
      <c r="N62" s="106">
        <v>37020</v>
      </c>
      <c r="O62" s="106">
        <v>40232</v>
      </c>
      <c r="P62" s="106">
        <v>41321</v>
      </c>
      <c r="Q62" s="106">
        <v>37230</v>
      </c>
      <c r="R62" s="106">
        <v>34552</v>
      </c>
      <c r="S62" s="106">
        <v>37871</v>
      </c>
      <c r="T62" s="106">
        <v>29654</v>
      </c>
      <c r="U62" s="106">
        <v>20950</v>
      </c>
      <c r="V62" s="106">
        <v>16232</v>
      </c>
      <c r="W62" s="106">
        <v>18570</v>
      </c>
      <c r="X62" s="106">
        <v>24142</v>
      </c>
      <c r="Y62" s="106">
        <v>5338</v>
      </c>
      <c r="Z62" s="106">
        <v>9440</v>
      </c>
      <c r="AA62" s="106">
        <v>1073</v>
      </c>
      <c r="AB62" s="106">
        <v>8638</v>
      </c>
      <c r="AC62" s="105">
        <v>11163.793</v>
      </c>
      <c r="AD62" s="105">
        <v>8804.8970000000008</v>
      </c>
      <c r="AE62" s="105">
        <v>12.552</v>
      </c>
      <c r="AF62" s="106">
        <v>81.09</v>
      </c>
      <c r="AG62" s="105">
        <v>64.119</v>
      </c>
      <c r="AH62" s="105">
        <v>2247.7139999999999</v>
      </c>
      <c r="AI62" s="106">
        <v>4853</v>
      </c>
      <c r="AJ62" s="106">
        <v>3917</v>
      </c>
    </row>
    <row r="63" spans="1:36" x14ac:dyDescent="0.25">
      <c r="A63" s="104" t="s">
        <v>57</v>
      </c>
      <c r="B63" s="107">
        <v>394390</v>
      </c>
      <c r="C63" s="107">
        <v>406651</v>
      </c>
      <c r="D63" s="107">
        <v>379968</v>
      </c>
      <c r="E63" s="107">
        <v>357200</v>
      </c>
      <c r="F63" s="107">
        <v>367905</v>
      </c>
      <c r="G63" s="107">
        <v>384863</v>
      </c>
      <c r="H63" s="107">
        <v>408166.5</v>
      </c>
      <c r="I63" s="107">
        <v>384395</v>
      </c>
      <c r="J63" s="107">
        <v>398170</v>
      </c>
      <c r="K63" s="107">
        <v>388208</v>
      </c>
      <c r="L63" s="107">
        <v>411018</v>
      </c>
      <c r="M63" s="107">
        <v>402964</v>
      </c>
      <c r="N63" s="107">
        <v>416136</v>
      </c>
      <c r="O63" s="107">
        <v>440687</v>
      </c>
      <c r="P63" s="107">
        <v>417580</v>
      </c>
      <c r="Q63" s="108">
        <v>403718.64500000002</v>
      </c>
      <c r="R63" s="108">
        <v>423363.81599999999</v>
      </c>
      <c r="S63" s="108">
        <v>420707.245</v>
      </c>
      <c r="T63" s="108">
        <v>369868.054</v>
      </c>
      <c r="U63" s="108">
        <v>344744.826</v>
      </c>
      <c r="V63" s="108">
        <v>355200.14399999997</v>
      </c>
      <c r="W63" s="108">
        <v>346998.79800000001</v>
      </c>
      <c r="X63" s="108">
        <v>357037.67200000002</v>
      </c>
      <c r="Y63" s="108">
        <v>382364.603</v>
      </c>
      <c r="Z63" s="108">
        <v>347941.86700000003</v>
      </c>
      <c r="AA63" s="108">
        <v>370703.05800000002</v>
      </c>
      <c r="AB63" s="108">
        <v>340927.69699999999</v>
      </c>
      <c r="AC63" s="108">
        <v>316242.82400000002</v>
      </c>
      <c r="AD63" s="108">
        <v>286489.00099999999</v>
      </c>
      <c r="AE63" s="108">
        <v>205412.80799999999</v>
      </c>
      <c r="AF63" s="108">
        <v>154120.56700000001</v>
      </c>
      <c r="AG63" s="108">
        <v>189936.19200000001</v>
      </c>
      <c r="AH63" s="108">
        <v>202618.777</v>
      </c>
      <c r="AI63" s="108">
        <v>134292.766</v>
      </c>
      <c r="AJ63" s="108">
        <v>104073.605</v>
      </c>
    </row>
    <row r="64" spans="1:36" x14ac:dyDescent="0.25">
      <c r="A64" s="104" t="s">
        <v>59</v>
      </c>
      <c r="B64" s="106">
        <v>7679</v>
      </c>
      <c r="C64" s="106">
        <v>10916</v>
      </c>
      <c r="D64" s="106">
        <v>10195</v>
      </c>
      <c r="E64" s="106">
        <v>10248</v>
      </c>
      <c r="F64" s="106">
        <v>10328</v>
      </c>
      <c r="G64" s="106">
        <v>10640</v>
      </c>
      <c r="H64" s="106">
        <v>9598</v>
      </c>
      <c r="I64" s="106">
        <v>8418</v>
      </c>
      <c r="J64" s="106">
        <v>6332</v>
      </c>
      <c r="K64" s="106">
        <v>5849</v>
      </c>
      <c r="L64" s="106">
        <v>6380</v>
      </c>
      <c r="M64" s="106">
        <v>4818</v>
      </c>
      <c r="N64" s="106">
        <v>5934</v>
      </c>
      <c r="O64" s="106">
        <v>5061</v>
      </c>
      <c r="P64" s="106">
        <v>6155</v>
      </c>
      <c r="Q64" s="106">
        <v>5771</v>
      </c>
      <c r="R64" s="106">
        <v>5262</v>
      </c>
      <c r="S64" s="106">
        <v>6640</v>
      </c>
      <c r="T64" s="106">
        <v>4227</v>
      </c>
      <c r="U64" s="106">
        <v>4263</v>
      </c>
      <c r="V64" s="106">
        <v>3378</v>
      </c>
      <c r="W64" s="106">
        <v>5631</v>
      </c>
      <c r="X64" s="106">
        <v>5292</v>
      </c>
      <c r="Y64" s="106">
        <v>4076</v>
      </c>
      <c r="Z64" s="106">
        <v>4613</v>
      </c>
      <c r="AA64" s="106">
        <v>4722</v>
      </c>
      <c r="AB64" s="106">
        <v>2634</v>
      </c>
      <c r="AC64" s="105">
        <v>3170.1030000000001</v>
      </c>
      <c r="AD64" s="106">
        <v>2393.87</v>
      </c>
      <c r="AE64" s="105">
        <v>1553.6949999999999</v>
      </c>
      <c r="AF64" s="105">
        <v>572.08799999999997</v>
      </c>
      <c r="AG64" s="106">
        <v>388.8</v>
      </c>
      <c r="AH64" s="105">
        <v>367.428</v>
      </c>
      <c r="AI64" s="105">
        <v>484.036</v>
      </c>
      <c r="AJ64" s="105">
        <v>316.24900000000002</v>
      </c>
    </row>
    <row r="65" spans="1:36" x14ac:dyDescent="0.25">
      <c r="A65" s="104" t="s">
        <v>60</v>
      </c>
      <c r="B65" s="107">
        <v>337807</v>
      </c>
      <c r="C65" s="107">
        <v>321401</v>
      </c>
      <c r="D65" s="107">
        <v>326170</v>
      </c>
      <c r="E65" s="107">
        <v>324983</v>
      </c>
      <c r="F65" s="107">
        <v>321986</v>
      </c>
      <c r="G65" s="107">
        <v>320479</v>
      </c>
      <c r="H65" s="107">
        <v>323794</v>
      </c>
      <c r="I65" s="107">
        <v>323604</v>
      </c>
      <c r="J65" s="107">
        <v>321965</v>
      </c>
      <c r="K65" s="107">
        <v>318413</v>
      </c>
      <c r="L65" s="107">
        <v>344081</v>
      </c>
      <c r="M65" s="107">
        <v>348959</v>
      </c>
      <c r="N65" s="107">
        <v>354183</v>
      </c>
      <c r="O65" s="107">
        <v>353416</v>
      </c>
      <c r="P65" s="107">
        <v>349221</v>
      </c>
      <c r="Q65" s="108">
        <v>341162.576</v>
      </c>
      <c r="R65" s="108">
        <v>335090.05300000001</v>
      </c>
      <c r="S65" s="107">
        <v>341578</v>
      </c>
      <c r="T65" s="107">
        <v>333265</v>
      </c>
      <c r="U65" s="107">
        <v>318172</v>
      </c>
      <c r="V65" s="107">
        <v>313437</v>
      </c>
      <c r="W65" s="107">
        <v>333068</v>
      </c>
      <c r="X65" s="107">
        <v>336840</v>
      </c>
      <c r="Y65" s="108">
        <v>323122.598</v>
      </c>
      <c r="Z65" s="107">
        <v>315467</v>
      </c>
      <c r="AA65" s="107">
        <v>313662</v>
      </c>
      <c r="AB65" s="107">
        <v>299424</v>
      </c>
      <c r="AC65" s="108">
        <v>301921.18300000002</v>
      </c>
      <c r="AD65" s="108">
        <v>291771.30499999999</v>
      </c>
      <c r="AE65" s="108">
        <v>241438.576</v>
      </c>
      <c r="AF65" s="108">
        <v>195400.734</v>
      </c>
      <c r="AG65" s="108">
        <v>226632.53899999999</v>
      </c>
      <c r="AH65" s="108">
        <v>241291.41399999999</v>
      </c>
      <c r="AI65" s="108">
        <v>178498.90299999999</v>
      </c>
      <c r="AJ65" s="108">
        <v>163546.54399999999</v>
      </c>
    </row>
    <row r="66" spans="1:36" x14ac:dyDescent="0.25">
      <c r="A66" s="104" t="s">
        <v>61</v>
      </c>
      <c r="B66" s="106">
        <v>837</v>
      </c>
      <c r="C66" s="106">
        <v>0</v>
      </c>
      <c r="D66" s="106">
        <v>0</v>
      </c>
      <c r="E66" s="106">
        <v>0</v>
      </c>
      <c r="F66" s="106">
        <v>0</v>
      </c>
      <c r="G66" s="106">
        <v>0</v>
      </c>
      <c r="H66" s="106">
        <v>0</v>
      </c>
      <c r="I66" s="106">
        <v>0</v>
      </c>
      <c r="J66" s="106">
        <v>0</v>
      </c>
      <c r="K66" s="106">
        <v>0</v>
      </c>
      <c r="L66" s="106">
        <v>0</v>
      </c>
      <c r="M66" s="106">
        <v>0</v>
      </c>
      <c r="N66" s="106">
        <v>8</v>
      </c>
      <c r="O66" s="106">
        <v>104</v>
      </c>
      <c r="P66" s="106">
        <v>165</v>
      </c>
      <c r="Q66" s="106">
        <v>0</v>
      </c>
      <c r="R66" s="106">
        <v>6</v>
      </c>
      <c r="S66" s="106">
        <v>68</v>
      </c>
      <c r="T66" s="106">
        <v>10</v>
      </c>
      <c r="U66" s="106">
        <v>17</v>
      </c>
      <c r="V66" s="106">
        <v>2</v>
      </c>
      <c r="W66" s="106">
        <v>4</v>
      </c>
      <c r="X66" s="106">
        <v>3</v>
      </c>
      <c r="Y66" s="106">
        <v>2</v>
      </c>
      <c r="Z66" s="106">
        <v>2</v>
      </c>
      <c r="AA66" s="106">
        <v>1</v>
      </c>
      <c r="AB66" s="106">
        <v>0</v>
      </c>
      <c r="AC66" s="106">
        <v>0</v>
      </c>
      <c r="AD66" s="105">
        <v>1.6E-2</v>
      </c>
      <c r="AE66" s="106">
        <v>0</v>
      </c>
      <c r="AF66" s="106">
        <v>0</v>
      </c>
      <c r="AG66" s="106">
        <v>8</v>
      </c>
      <c r="AH66" s="106">
        <v>11</v>
      </c>
      <c r="AI66" s="106">
        <v>8</v>
      </c>
      <c r="AJ66" s="106">
        <v>8</v>
      </c>
    </row>
    <row r="67" spans="1:36" x14ac:dyDescent="0.25">
      <c r="A67" s="104" t="s">
        <v>62</v>
      </c>
      <c r="B67" s="107">
        <v>0</v>
      </c>
      <c r="C67" s="107">
        <v>0</v>
      </c>
      <c r="D67" s="107">
        <v>0</v>
      </c>
      <c r="E67" s="107">
        <v>0</v>
      </c>
      <c r="F67" s="107">
        <v>0</v>
      </c>
      <c r="G67" s="107">
        <v>0</v>
      </c>
      <c r="H67" s="107">
        <v>0</v>
      </c>
      <c r="I67" s="107">
        <v>0</v>
      </c>
      <c r="J67" s="107">
        <v>0</v>
      </c>
      <c r="K67" s="107">
        <v>0</v>
      </c>
      <c r="L67" s="107">
        <v>0</v>
      </c>
      <c r="M67" s="107">
        <v>0</v>
      </c>
      <c r="N67" s="107">
        <v>0</v>
      </c>
      <c r="O67" s="107">
        <v>0</v>
      </c>
      <c r="P67" s="107">
        <v>0</v>
      </c>
      <c r="Q67" s="107">
        <v>0</v>
      </c>
      <c r="R67" s="107">
        <v>0</v>
      </c>
      <c r="S67" s="107">
        <v>0</v>
      </c>
      <c r="T67" s="107">
        <v>0</v>
      </c>
      <c r="U67" s="107">
        <v>0</v>
      </c>
      <c r="V67" s="107">
        <v>0</v>
      </c>
      <c r="W67" s="107">
        <v>0</v>
      </c>
      <c r="X67" s="107">
        <v>0</v>
      </c>
      <c r="Y67" s="107">
        <v>0</v>
      </c>
      <c r="Z67" s="107">
        <v>0</v>
      </c>
      <c r="AA67" s="107">
        <v>0</v>
      </c>
      <c r="AB67" s="107">
        <v>0</v>
      </c>
      <c r="AC67" s="107">
        <v>0</v>
      </c>
      <c r="AD67" s="107">
        <v>0</v>
      </c>
      <c r="AE67" s="107">
        <v>0</v>
      </c>
      <c r="AF67" s="107">
        <v>0</v>
      </c>
      <c r="AG67" s="107">
        <v>0</v>
      </c>
      <c r="AH67" s="107">
        <v>0</v>
      </c>
      <c r="AI67" s="107">
        <v>0</v>
      </c>
      <c r="AJ67" s="107">
        <v>0</v>
      </c>
    </row>
    <row r="68" spans="1:36" x14ac:dyDescent="0.25">
      <c r="A68" s="104" t="s">
        <v>63</v>
      </c>
      <c r="B68" s="106">
        <v>0</v>
      </c>
      <c r="C68" s="106">
        <v>0</v>
      </c>
      <c r="D68" s="106">
        <v>0</v>
      </c>
      <c r="E68" s="106">
        <v>0</v>
      </c>
      <c r="F68" s="106">
        <v>0</v>
      </c>
      <c r="G68" s="106">
        <v>0</v>
      </c>
      <c r="H68" s="106">
        <v>0</v>
      </c>
      <c r="I68" s="106">
        <v>0</v>
      </c>
      <c r="J68" s="106">
        <v>0</v>
      </c>
      <c r="K68" s="106">
        <v>0</v>
      </c>
      <c r="L68" s="106">
        <v>0</v>
      </c>
      <c r="M68" s="106">
        <v>0</v>
      </c>
      <c r="N68" s="106">
        <v>4</v>
      </c>
      <c r="O68" s="106">
        <v>0</v>
      </c>
      <c r="P68" s="106">
        <v>0</v>
      </c>
      <c r="Q68" s="106">
        <v>0</v>
      </c>
      <c r="R68" s="106">
        <v>0</v>
      </c>
      <c r="S68" s="106">
        <v>0</v>
      </c>
      <c r="T68" s="106">
        <v>14</v>
      </c>
      <c r="U68" s="106">
        <v>0</v>
      </c>
      <c r="V68" s="106">
        <v>0</v>
      </c>
      <c r="W68" s="106">
        <v>0</v>
      </c>
      <c r="X68" s="106">
        <v>0</v>
      </c>
      <c r="Y68" s="106">
        <v>0</v>
      </c>
      <c r="Z68" s="106">
        <v>0</v>
      </c>
      <c r="AA68" s="106">
        <v>0</v>
      </c>
      <c r="AB68" s="106">
        <v>0</v>
      </c>
      <c r="AC68" s="106">
        <v>0</v>
      </c>
      <c r="AD68" s="106">
        <v>0</v>
      </c>
      <c r="AE68" s="106">
        <v>0</v>
      </c>
      <c r="AF68" s="106">
        <v>0</v>
      </c>
      <c r="AG68" s="106">
        <v>0</v>
      </c>
      <c r="AH68" s="106">
        <v>0</v>
      </c>
      <c r="AI68" s="106">
        <v>0</v>
      </c>
      <c r="AJ68" s="106">
        <v>0</v>
      </c>
    </row>
    <row r="69" spans="1:36" x14ac:dyDescent="0.25">
      <c r="A69" s="104" t="s">
        <v>64</v>
      </c>
      <c r="B69" s="107">
        <v>1510</v>
      </c>
      <c r="C69" s="107">
        <v>697</v>
      </c>
      <c r="D69" s="107">
        <v>1492</v>
      </c>
      <c r="E69" s="107">
        <v>820</v>
      </c>
      <c r="F69" s="107">
        <v>995</v>
      </c>
      <c r="G69" s="107">
        <v>765</v>
      </c>
      <c r="H69" s="107">
        <v>518</v>
      </c>
      <c r="I69" s="107">
        <v>433</v>
      </c>
      <c r="J69" s="107">
        <v>498</v>
      </c>
      <c r="K69" s="107">
        <v>885</v>
      </c>
      <c r="L69" s="107">
        <v>923</v>
      </c>
      <c r="M69" s="107">
        <v>968</v>
      </c>
      <c r="N69" s="107">
        <v>950</v>
      </c>
      <c r="O69" s="107">
        <v>2276</v>
      </c>
      <c r="P69" s="107">
        <v>2005</v>
      </c>
      <c r="Q69" s="107">
        <v>2716</v>
      </c>
      <c r="R69" s="107">
        <v>2775</v>
      </c>
      <c r="S69" s="107">
        <v>3388</v>
      </c>
      <c r="T69" s="107">
        <v>3299</v>
      </c>
      <c r="U69" s="107">
        <v>2694</v>
      </c>
      <c r="V69" s="107">
        <v>2464</v>
      </c>
      <c r="W69" s="107">
        <v>2167</v>
      </c>
      <c r="X69" s="107">
        <v>2411</v>
      </c>
      <c r="Y69" s="107">
        <v>2924</v>
      </c>
      <c r="Z69" s="107">
        <v>2766</v>
      </c>
      <c r="AA69" s="107">
        <v>2616</v>
      </c>
      <c r="AB69" s="107">
        <v>2631</v>
      </c>
      <c r="AC69" s="108">
        <v>2328.9929999999999</v>
      </c>
      <c r="AD69" s="107">
        <v>2131.9499999999998</v>
      </c>
      <c r="AE69" s="107">
        <v>1799.37</v>
      </c>
      <c r="AF69" s="107">
        <v>1509.88</v>
      </c>
      <c r="AG69" s="108">
        <v>1509.2439999999999</v>
      </c>
      <c r="AH69" s="108">
        <v>1401.905</v>
      </c>
      <c r="AI69" s="108">
        <v>830.51599999999996</v>
      </c>
      <c r="AJ69" s="108">
        <v>965.327</v>
      </c>
    </row>
    <row r="70" spans="1:36" x14ac:dyDescent="0.25">
      <c r="A70" s="104" t="s">
        <v>65</v>
      </c>
      <c r="B70" s="106">
        <v>0</v>
      </c>
      <c r="C70" s="106">
        <v>0</v>
      </c>
      <c r="D70" s="106">
        <v>0</v>
      </c>
      <c r="E70" s="106">
        <v>0</v>
      </c>
      <c r="F70" s="106">
        <v>0</v>
      </c>
      <c r="G70" s="106">
        <v>0</v>
      </c>
      <c r="H70" s="106">
        <v>0</v>
      </c>
      <c r="I70" s="106">
        <v>100</v>
      </c>
      <c r="J70" s="106">
        <v>154</v>
      </c>
      <c r="K70" s="106">
        <v>85</v>
      </c>
      <c r="L70" s="106">
        <v>64</v>
      </c>
      <c r="M70" s="106">
        <v>55</v>
      </c>
      <c r="N70" s="106">
        <v>119</v>
      </c>
      <c r="O70" s="106">
        <v>119</v>
      </c>
      <c r="P70" s="106">
        <v>106</v>
      </c>
      <c r="Q70" s="106">
        <v>100</v>
      </c>
      <c r="R70" s="106">
        <v>61</v>
      </c>
      <c r="S70" s="106">
        <v>58</v>
      </c>
      <c r="T70" s="106">
        <v>30</v>
      </c>
      <c r="U70" s="106">
        <v>18</v>
      </c>
      <c r="V70" s="106">
        <v>23</v>
      </c>
      <c r="W70" s="106">
        <v>4</v>
      </c>
      <c r="X70" s="106">
        <v>2</v>
      </c>
      <c r="Y70" s="106">
        <v>1</v>
      </c>
      <c r="Z70" s="106">
        <v>8</v>
      </c>
      <c r="AA70" s="106">
        <v>14</v>
      </c>
      <c r="AB70" s="106">
        <v>17</v>
      </c>
      <c r="AC70" s="105">
        <v>8.4269999999999996</v>
      </c>
      <c r="AD70" s="106">
        <v>10.99</v>
      </c>
      <c r="AE70" s="105">
        <v>14.785</v>
      </c>
      <c r="AF70" s="105">
        <v>17.597999999999999</v>
      </c>
      <c r="AG70" s="105">
        <v>8.3179999999999996</v>
      </c>
      <c r="AH70" s="106">
        <v>7.87</v>
      </c>
      <c r="AI70" s="105">
        <v>11.304</v>
      </c>
      <c r="AJ70" s="106">
        <v>8.58</v>
      </c>
    </row>
    <row r="71" spans="1:36" x14ac:dyDescent="0.25">
      <c r="A71" s="104" t="s">
        <v>77</v>
      </c>
      <c r="B71" s="108">
        <v>8952.4490000000005</v>
      </c>
      <c r="C71" s="108">
        <v>7008.1660000000002</v>
      </c>
      <c r="D71" s="108">
        <v>6861.5429999999997</v>
      </c>
      <c r="E71" s="108">
        <v>5518.4660000000003</v>
      </c>
      <c r="F71" s="108">
        <v>5149.7020000000002</v>
      </c>
      <c r="G71" s="108">
        <v>5548.2979999999998</v>
      </c>
      <c r="H71" s="108">
        <v>5785.2929999999997</v>
      </c>
      <c r="I71" s="108">
        <v>6870.6570000000002</v>
      </c>
      <c r="J71" s="108">
        <v>6810.1030000000001</v>
      </c>
      <c r="K71" s="108">
        <v>6924.3729999999996</v>
      </c>
      <c r="L71" s="108">
        <v>7508.2269999999999</v>
      </c>
      <c r="M71" s="108">
        <v>6905.1040000000003</v>
      </c>
      <c r="N71" s="107">
        <v>5965.68</v>
      </c>
      <c r="O71" s="108">
        <v>6771.7430000000004</v>
      </c>
      <c r="P71" s="108">
        <v>6844.8530000000001</v>
      </c>
      <c r="Q71" s="108">
        <v>6333.8760000000002</v>
      </c>
      <c r="R71" s="108">
        <v>6705.8389999999999</v>
      </c>
      <c r="S71" s="108">
        <v>7649.5460000000003</v>
      </c>
      <c r="T71" s="108">
        <v>7304.8549999999996</v>
      </c>
      <c r="U71" s="108">
        <v>5904.7520000000004</v>
      </c>
      <c r="V71" s="108">
        <v>6888.3130000000001</v>
      </c>
      <c r="W71" s="108">
        <v>6814.4430000000002</v>
      </c>
      <c r="X71" s="108">
        <v>6945.2690000000002</v>
      </c>
      <c r="Y71" s="108">
        <v>6448.2839999999997</v>
      </c>
      <c r="Z71" s="108">
        <v>6056.2920000000004</v>
      </c>
      <c r="AA71" s="108">
        <v>7152.2489999999998</v>
      </c>
      <c r="AB71" s="108">
        <v>7310.5789999999997</v>
      </c>
      <c r="AC71" s="108">
        <v>7767.1319999999996</v>
      </c>
      <c r="AD71" s="108">
        <v>7200.5429999999997</v>
      </c>
      <c r="AE71" s="108">
        <v>7156.0950000000003</v>
      </c>
      <c r="AF71" s="107">
        <v>6234.69</v>
      </c>
      <c r="AG71" s="108">
        <v>6117.2439999999997</v>
      </c>
      <c r="AH71" s="108">
        <v>5777.826</v>
      </c>
      <c r="AI71" s="108">
        <v>5269.4080000000004</v>
      </c>
      <c r="AJ71" s="108">
        <v>5518.8789999999999</v>
      </c>
    </row>
    <row r="72" spans="1:36" x14ac:dyDescent="0.25">
      <c r="A72" s="104" t="s">
        <v>78</v>
      </c>
      <c r="B72" s="105">
        <v>67.551000000000002</v>
      </c>
      <c r="C72" s="105">
        <v>56.834000000000003</v>
      </c>
      <c r="D72" s="105">
        <v>63.457000000000001</v>
      </c>
      <c r="E72" s="105">
        <v>39.533999999999999</v>
      </c>
      <c r="F72" s="105">
        <v>59.298000000000002</v>
      </c>
      <c r="G72" s="105">
        <v>28.702000000000002</v>
      </c>
      <c r="H72" s="105">
        <v>1003.707</v>
      </c>
      <c r="I72" s="105">
        <v>1476.3430000000001</v>
      </c>
      <c r="J72" s="105">
        <v>1600.8969999999999</v>
      </c>
      <c r="K72" s="105">
        <v>1554.627</v>
      </c>
      <c r="L72" s="105">
        <v>1562.7729999999999</v>
      </c>
      <c r="M72" s="105">
        <v>1695.896</v>
      </c>
      <c r="N72" s="106">
        <v>1786.32</v>
      </c>
      <c r="O72" s="105">
        <v>1827.2570000000001</v>
      </c>
      <c r="P72" s="105">
        <v>1776.1469999999999</v>
      </c>
      <c r="Q72" s="105">
        <v>2044.7139999999999</v>
      </c>
      <c r="R72" s="105">
        <v>1897.3489999999999</v>
      </c>
      <c r="S72" s="105">
        <v>1989.078</v>
      </c>
      <c r="T72" s="105">
        <v>2213.0259999999998</v>
      </c>
      <c r="U72" s="105">
        <v>2209.5219999999999</v>
      </c>
      <c r="V72" s="105">
        <v>2312.0680000000002</v>
      </c>
      <c r="W72" s="105">
        <v>2330.1779999999999</v>
      </c>
      <c r="X72" s="105">
        <v>2201.402</v>
      </c>
      <c r="Y72" s="105">
        <v>2018.338</v>
      </c>
      <c r="Z72" s="105">
        <v>2223.8560000000002</v>
      </c>
      <c r="AA72" s="106">
        <v>2124.38</v>
      </c>
      <c r="AB72" s="105">
        <v>2063.3530000000001</v>
      </c>
      <c r="AC72" s="105">
        <v>1939.4169999999999</v>
      </c>
      <c r="AD72" s="105">
        <v>1803.193</v>
      </c>
      <c r="AE72" s="105">
        <v>1733.922</v>
      </c>
      <c r="AF72" s="105">
        <v>1250.365</v>
      </c>
      <c r="AG72" s="106">
        <v>142.19999999999999</v>
      </c>
      <c r="AH72" s="105">
        <v>203.304</v>
      </c>
      <c r="AI72" s="105">
        <v>191.90899999999999</v>
      </c>
      <c r="AJ72" s="106">
        <v>0</v>
      </c>
    </row>
    <row r="73" spans="1:36" x14ac:dyDescent="0.25">
      <c r="A73" s="104" t="s">
        <v>79</v>
      </c>
      <c r="B73" s="107">
        <v>19566</v>
      </c>
      <c r="C73" s="107">
        <v>19643</v>
      </c>
      <c r="D73" s="107">
        <v>19847</v>
      </c>
      <c r="E73" s="107">
        <v>18614</v>
      </c>
      <c r="F73" s="107">
        <v>18751</v>
      </c>
      <c r="G73" s="107">
        <v>18425</v>
      </c>
      <c r="H73" s="107">
        <v>17352</v>
      </c>
      <c r="I73" s="107">
        <v>20866</v>
      </c>
      <c r="J73" s="107">
        <v>20766</v>
      </c>
      <c r="K73" s="107">
        <v>21127</v>
      </c>
      <c r="L73" s="107">
        <v>21549</v>
      </c>
      <c r="M73" s="107">
        <v>22904</v>
      </c>
      <c r="N73" s="107">
        <v>22183</v>
      </c>
      <c r="O73" s="107">
        <v>22628</v>
      </c>
      <c r="P73" s="107">
        <v>22378</v>
      </c>
      <c r="Q73" s="108">
        <v>24001.596000000001</v>
      </c>
      <c r="R73" s="108">
        <v>23468.291000000001</v>
      </c>
      <c r="S73" s="108">
        <v>24360.735000000001</v>
      </c>
      <c r="T73" s="108">
        <v>23450.969000000001</v>
      </c>
      <c r="U73" s="108">
        <v>14982.161</v>
      </c>
      <c r="V73" s="108">
        <v>22485.422999999999</v>
      </c>
      <c r="W73" s="108">
        <v>22424.705000000002</v>
      </c>
      <c r="X73" s="108">
        <v>21033.731</v>
      </c>
      <c r="Y73" s="108">
        <v>21233.174999999999</v>
      </c>
      <c r="Z73" s="108">
        <v>21494.995999999999</v>
      </c>
      <c r="AA73" s="108">
        <v>20720.358</v>
      </c>
      <c r="AB73" s="108">
        <v>20558.561000000002</v>
      </c>
      <c r="AC73" s="108">
        <v>20836.654999999999</v>
      </c>
      <c r="AD73" s="108">
        <v>20858.585999999999</v>
      </c>
      <c r="AE73" s="108">
        <v>19460.887999999999</v>
      </c>
      <c r="AF73" s="108">
        <v>16349.994000000001</v>
      </c>
      <c r="AG73" s="107">
        <v>19914.830000000002</v>
      </c>
      <c r="AH73" s="108">
        <v>17880.986000000001</v>
      </c>
      <c r="AI73" s="108">
        <v>16552.076000000001</v>
      </c>
      <c r="AJ73" s="108">
        <v>16897.870999999999</v>
      </c>
    </row>
    <row r="74" spans="1:36" x14ac:dyDescent="0.25">
      <c r="A74" s="104" t="s">
        <v>80</v>
      </c>
      <c r="B74" s="106">
        <v>510</v>
      </c>
      <c r="C74" s="106">
        <v>545</v>
      </c>
      <c r="D74" s="106">
        <v>600</v>
      </c>
      <c r="E74" s="106">
        <v>701</v>
      </c>
      <c r="F74" s="106">
        <v>426</v>
      </c>
      <c r="G74" s="106">
        <v>655</v>
      </c>
      <c r="H74" s="106">
        <v>560</v>
      </c>
      <c r="I74" s="106">
        <v>552</v>
      </c>
      <c r="J74" s="106">
        <v>1036</v>
      </c>
      <c r="K74" s="106">
        <v>868</v>
      </c>
      <c r="L74" s="106">
        <v>619</v>
      </c>
      <c r="M74" s="106">
        <v>767</v>
      </c>
      <c r="N74" s="106">
        <v>816</v>
      </c>
      <c r="O74" s="106">
        <v>1881</v>
      </c>
      <c r="P74" s="106">
        <v>1653</v>
      </c>
      <c r="Q74" s="105">
        <v>1719.154</v>
      </c>
      <c r="R74" s="105">
        <v>1551.6130000000001</v>
      </c>
      <c r="S74" s="105">
        <v>1767.5350000000001</v>
      </c>
      <c r="T74" s="105">
        <v>1411.624</v>
      </c>
      <c r="U74" s="106">
        <v>1271.47</v>
      </c>
      <c r="V74" s="105">
        <v>1571.279</v>
      </c>
      <c r="W74" s="105">
        <v>1648.9770000000001</v>
      </c>
      <c r="X74" s="105">
        <v>1874.864</v>
      </c>
      <c r="Y74" s="106">
        <v>1825.89</v>
      </c>
      <c r="Z74" s="105">
        <v>1893.9159999999999</v>
      </c>
      <c r="AA74" s="105">
        <v>2242.8829999999998</v>
      </c>
      <c r="AB74" s="105">
        <v>1950.3820000000001</v>
      </c>
      <c r="AC74" s="105">
        <v>2182.7260000000001</v>
      </c>
      <c r="AD74" s="105">
        <v>1866.895</v>
      </c>
      <c r="AE74" s="105">
        <v>1910.069</v>
      </c>
      <c r="AF74" s="105">
        <v>1659.6569999999999</v>
      </c>
      <c r="AG74" s="105">
        <v>1587.009</v>
      </c>
      <c r="AH74" s="105">
        <v>1664.155</v>
      </c>
      <c r="AI74" s="105">
        <v>1491.2550000000001</v>
      </c>
      <c r="AJ74" s="105">
        <v>1519.3230000000001</v>
      </c>
    </row>
    <row r="75" spans="1:36" x14ac:dyDescent="0.25">
      <c r="A75" s="104" t="s">
        <v>66</v>
      </c>
      <c r="B75" s="107">
        <v>5137</v>
      </c>
      <c r="C75" s="107">
        <v>6334</v>
      </c>
      <c r="D75" s="107">
        <v>6059</v>
      </c>
      <c r="E75" s="107">
        <v>6442</v>
      </c>
      <c r="F75" s="107">
        <v>7287</v>
      </c>
      <c r="G75" s="107">
        <v>7843</v>
      </c>
      <c r="H75" s="107">
        <v>9001</v>
      </c>
      <c r="I75" s="107">
        <v>8680</v>
      </c>
      <c r="J75" s="107">
        <v>6806</v>
      </c>
      <c r="K75" s="107">
        <v>6644</v>
      </c>
      <c r="L75" s="107">
        <v>5902</v>
      </c>
      <c r="M75" s="107">
        <v>8562</v>
      </c>
      <c r="N75" s="107">
        <v>8826</v>
      </c>
      <c r="O75" s="107">
        <v>9584</v>
      </c>
      <c r="P75" s="107">
        <v>8735</v>
      </c>
      <c r="Q75" s="107">
        <v>7486</v>
      </c>
      <c r="R75" s="107">
        <v>9273</v>
      </c>
      <c r="S75" s="108">
        <v>9965.1859999999997</v>
      </c>
      <c r="T75" s="108">
        <v>8592.3549999999996</v>
      </c>
      <c r="U75" s="108">
        <v>7799.0839999999998</v>
      </c>
      <c r="V75" s="108">
        <v>9331.9519999999993</v>
      </c>
      <c r="W75" s="108">
        <v>8252.7790000000005</v>
      </c>
      <c r="X75" s="108">
        <v>6603.7860000000001</v>
      </c>
      <c r="Y75" s="108">
        <v>5850.4840000000004</v>
      </c>
      <c r="Z75" s="108">
        <v>6163.0860000000002</v>
      </c>
      <c r="AA75" s="107">
        <v>5834.22</v>
      </c>
      <c r="AB75" s="108">
        <v>5486.8850000000002</v>
      </c>
      <c r="AC75" s="108">
        <v>5243.0519999999997</v>
      </c>
      <c r="AD75" s="107">
        <v>5921.64</v>
      </c>
      <c r="AE75" s="108">
        <v>5160.7330000000002</v>
      </c>
      <c r="AF75" s="108">
        <v>3136.6669999999999</v>
      </c>
      <c r="AG75" s="108">
        <v>2502.3409999999999</v>
      </c>
      <c r="AH75" s="108">
        <v>2469.3780000000002</v>
      </c>
      <c r="AI75" s="108">
        <v>1352.5709999999999</v>
      </c>
      <c r="AJ75" s="107">
        <v>1064.0999999999999</v>
      </c>
    </row>
    <row r="76" spans="1:36" x14ac:dyDescent="0.25">
      <c r="A76" s="104" t="s">
        <v>67</v>
      </c>
      <c r="B76" s="106">
        <v>0</v>
      </c>
      <c r="C76" s="106">
        <v>0</v>
      </c>
      <c r="D76" s="106">
        <v>0</v>
      </c>
      <c r="E76" s="106">
        <v>0</v>
      </c>
      <c r="F76" s="106">
        <v>0</v>
      </c>
      <c r="G76" s="106">
        <v>0</v>
      </c>
      <c r="H76" s="106">
        <v>0</v>
      </c>
      <c r="I76" s="106">
        <v>0</v>
      </c>
      <c r="J76" s="106">
        <v>0</v>
      </c>
      <c r="K76" s="106">
        <v>0</v>
      </c>
      <c r="L76" s="106">
        <v>0</v>
      </c>
      <c r="M76" s="106">
        <v>0</v>
      </c>
      <c r="N76" s="106">
        <v>0</v>
      </c>
      <c r="O76" s="106">
        <v>0</v>
      </c>
      <c r="P76" s="106">
        <v>0</v>
      </c>
      <c r="Q76" s="106">
        <v>0</v>
      </c>
      <c r="R76" s="106">
        <v>0</v>
      </c>
      <c r="S76" s="106">
        <v>0</v>
      </c>
      <c r="T76" s="106">
        <v>5</v>
      </c>
      <c r="U76" s="106">
        <v>5</v>
      </c>
      <c r="V76" s="106">
        <v>0</v>
      </c>
      <c r="W76" s="106">
        <v>5</v>
      </c>
      <c r="X76" s="106">
        <v>3</v>
      </c>
      <c r="Y76" s="106">
        <v>4</v>
      </c>
      <c r="Z76" s="106">
        <v>5</v>
      </c>
      <c r="AA76" s="106">
        <v>6</v>
      </c>
      <c r="AB76" s="106">
        <v>1</v>
      </c>
      <c r="AC76" s="106">
        <v>0</v>
      </c>
      <c r="AD76" s="106">
        <v>0</v>
      </c>
      <c r="AE76" s="106">
        <v>1</v>
      </c>
      <c r="AF76" s="106">
        <v>0</v>
      </c>
      <c r="AG76" s="106">
        <v>0</v>
      </c>
      <c r="AH76" s="106">
        <v>0</v>
      </c>
      <c r="AI76" s="106">
        <v>0</v>
      </c>
      <c r="AJ76" s="106">
        <v>0</v>
      </c>
    </row>
    <row r="77" spans="1:36" x14ac:dyDescent="0.25">
      <c r="A77" s="104" t="s">
        <v>68</v>
      </c>
      <c r="B77" s="107">
        <v>14709</v>
      </c>
      <c r="C77" s="107">
        <v>12325</v>
      </c>
      <c r="D77" s="107">
        <v>10942</v>
      </c>
      <c r="E77" s="107">
        <v>8315</v>
      </c>
      <c r="F77" s="107">
        <v>8716</v>
      </c>
      <c r="G77" s="107">
        <v>8276</v>
      </c>
      <c r="H77" s="107">
        <v>8655</v>
      </c>
      <c r="I77" s="107">
        <v>8683</v>
      </c>
      <c r="J77" s="107">
        <v>7868</v>
      </c>
      <c r="K77" s="107">
        <v>7617</v>
      </c>
      <c r="L77" s="107">
        <v>7663</v>
      </c>
      <c r="M77" s="107">
        <v>7627</v>
      </c>
      <c r="N77" s="107">
        <v>7649</v>
      </c>
      <c r="O77" s="107">
        <v>9292</v>
      </c>
      <c r="P77" s="107">
        <v>9500</v>
      </c>
      <c r="Q77" s="107">
        <v>9288</v>
      </c>
      <c r="R77" s="107">
        <v>8774</v>
      </c>
      <c r="S77" s="107">
        <v>11399</v>
      </c>
      <c r="T77" s="107">
        <v>9630</v>
      </c>
      <c r="U77" s="107">
        <v>7625</v>
      </c>
      <c r="V77" s="107">
        <v>11045</v>
      </c>
      <c r="W77" s="107">
        <v>10902</v>
      </c>
      <c r="X77" s="107">
        <v>9702</v>
      </c>
      <c r="Y77" s="107">
        <v>11406</v>
      </c>
      <c r="Z77" s="107">
        <v>10302</v>
      </c>
      <c r="AA77" s="107">
        <v>7887</v>
      </c>
      <c r="AB77" s="107">
        <v>9623</v>
      </c>
      <c r="AC77" s="108">
        <v>9912.3140000000003</v>
      </c>
      <c r="AD77" s="107">
        <v>9380</v>
      </c>
      <c r="AE77" s="107">
        <v>4318.22</v>
      </c>
      <c r="AF77" s="108">
        <v>2247.2060000000001</v>
      </c>
      <c r="AG77" s="108">
        <v>3444.4569999999999</v>
      </c>
      <c r="AH77" s="108">
        <v>5077.3940000000002</v>
      </c>
      <c r="AI77" s="108">
        <v>1975.972</v>
      </c>
      <c r="AJ77" s="108">
        <v>1246.8869999999999</v>
      </c>
    </row>
    <row r="78" spans="1:36" x14ac:dyDescent="0.25">
      <c r="A78" s="104" t="s">
        <v>81</v>
      </c>
      <c r="B78" s="106">
        <v>187563</v>
      </c>
      <c r="C78" s="106">
        <v>182525</v>
      </c>
      <c r="D78" s="106">
        <v>172558</v>
      </c>
      <c r="E78" s="106">
        <v>179145</v>
      </c>
      <c r="F78" s="106">
        <v>191759</v>
      </c>
      <c r="G78" s="106">
        <v>204622</v>
      </c>
      <c r="H78" s="106">
        <v>230469</v>
      </c>
      <c r="I78" s="106">
        <v>250781</v>
      </c>
      <c r="J78" s="106">
        <v>275122</v>
      </c>
      <c r="K78" s="106">
        <v>313873</v>
      </c>
      <c r="L78" s="105">
        <v>331481.56099999999</v>
      </c>
      <c r="M78" s="105">
        <v>354282.44400000002</v>
      </c>
      <c r="N78" s="105">
        <v>372731.90600000002</v>
      </c>
      <c r="O78" s="105">
        <v>420266.87800000003</v>
      </c>
      <c r="P78" s="105">
        <v>459887.25699999998</v>
      </c>
      <c r="Q78" s="105">
        <v>514215.96299999999</v>
      </c>
      <c r="R78" s="106">
        <v>541993.04</v>
      </c>
      <c r="S78" s="105">
        <v>573654.78200000001</v>
      </c>
      <c r="T78" s="105">
        <v>613345.924</v>
      </c>
      <c r="U78" s="105">
        <v>565758.79500000004</v>
      </c>
      <c r="V78" s="105">
        <v>588794.01800000004</v>
      </c>
      <c r="W78" s="105">
        <v>558173.29700000002</v>
      </c>
      <c r="X78" s="105">
        <v>484109.93800000002</v>
      </c>
      <c r="Y78" s="105">
        <v>415076.80099999998</v>
      </c>
      <c r="Z78" s="105">
        <v>357016.57900000003</v>
      </c>
      <c r="AA78" s="105">
        <v>396323.10600000003</v>
      </c>
      <c r="AB78" s="105">
        <v>466235.859</v>
      </c>
      <c r="AC78" s="105">
        <v>525141.74899999995</v>
      </c>
      <c r="AD78" s="105">
        <v>490728.42200000002</v>
      </c>
      <c r="AE78" s="105">
        <v>569299.00300000003</v>
      </c>
      <c r="AF78" s="106">
        <v>560928.34</v>
      </c>
      <c r="AG78" s="105">
        <v>553695.47499999998</v>
      </c>
      <c r="AH78" s="105">
        <v>538346.37199999997</v>
      </c>
      <c r="AI78" s="105">
        <v>458568.55200000003</v>
      </c>
      <c r="AJ78" s="105">
        <v>443377.16499999998</v>
      </c>
    </row>
    <row r="79" spans="1:36" x14ac:dyDescent="0.25">
      <c r="A79" s="104" t="s">
        <v>117</v>
      </c>
      <c r="B79" s="107">
        <v>0</v>
      </c>
      <c r="C79" s="107">
        <v>0</v>
      </c>
      <c r="D79" s="107">
        <v>0</v>
      </c>
      <c r="E79" s="107">
        <v>0</v>
      </c>
      <c r="F79" s="107">
        <v>0</v>
      </c>
      <c r="G79" s="107">
        <v>0</v>
      </c>
      <c r="H79" s="107">
        <v>0</v>
      </c>
      <c r="I79" s="107">
        <v>0</v>
      </c>
      <c r="J79" s="107">
        <v>0</v>
      </c>
      <c r="K79" s="107">
        <v>0</v>
      </c>
      <c r="L79" s="107">
        <v>0</v>
      </c>
      <c r="M79" s="107">
        <v>0</v>
      </c>
      <c r="N79" s="107">
        <v>0</v>
      </c>
      <c r="O79" s="107">
        <v>0</v>
      </c>
      <c r="P79" s="107">
        <v>14</v>
      </c>
      <c r="Q79" s="107">
        <v>15</v>
      </c>
      <c r="R79" s="107">
        <v>22</v>
      </c>
      <c r="S79" s="107">
        <v>22</v>
      </c>
      <c r="T79" s="107">
        <v>3</v>
      </c>
      <c r="U79" s="107">
        <v>0</v>
      </c>
      <c r="V79" s="107">
        <v>0</v>
      </c>
      <c r="W79" s="107">
        <v>0</v>
      </c>
      <c r="X79" s="107">
        <v>0</v>
      </c>
      <c r="Y79" s="107">
        <v>0</v>
      </c>
      <c r="Z79" s="107">
        <v>0</v>
      </c>
      <c r="AA79" s="107">
        <v>0</v>
      </c>
      <c r="AB79" s="107">
        <v>0</v>
      </c>
      <c r="AC79" s="107">
        <v>0</v>
      </c>
      <c r="AD79" s="107">
        <v>0</v>
      </c>
      <c r="AE79" s="107">
        <v>0</v>
      </c>
      <c r="AF79" s="107">
        <v>0</v>
      </c>
      <c r="AG79" s="107">
        <v>0</v>
      </c>
      <c r="AH79" s="107">
        <v>0</v>
      </c>
      <c r="AI79" s="107">
        <v>0</v>
      </c>
      <c r="AJ79" s="107">
        <v>0</v>
      </c>
    </row>
    <row r="80" spans="1:36" x14ac:dyDescent="0.25">
      <c r="A80" s="104" t="s">
        <v>118</v>
      </c>
      <c r="B80" s="106">
        <v>0</v>
      </c>
      <c r="C80" s="106">
        <v>0</v>
      </c>
      <c r="D80" s="106">
        <v>0</v>
      </c>
      <c r="E80" s="106">
        <v>0</v>
      </c>
      <c r="F80" s="106">
        <v>0</v>
      </c>
      <c r="G80" s="106">
        <v>0</v>
      </c>
      <c r="H80" s="106">
        <v>0</v>
      </c>
      <c r="I80" s="106">
        <v>0</v>
      </c>
      <c r="J80" s="106">
        <v>0</v>
      </c>
      <c r="K80" s="106">
        <v>0</v>
      </c>
      <c r="L80" s="106">
        <v>0</v>
      </c>
      <c r="M80" s="106">
        <v>0</v>
      </c>
      <c r="N80" s="106">
        <v>0</v>
      </c>
      <c r="O80" s="106">
        <v>0</v>
      </c>
      <c r="P80" s="106">
        <v>0</v>
      </c>
      <c r="Q80" s="106">
        <v>0</v>
      </c>
      <c r="R80" s="106">
        <v>0</v>
      </c>
      <c r="S80" s="106">
        <v>0</v>
      </c>
      <c r="T80" s="106">
        <v>0</v>
      </c>
      <c r="U80" s="106">
        <v>0</v>
      </c>
      <c r="V80" s="106">
        <v>0</v>
      </c>
      <c r="W80" s="106">
        <v>0</v>
      </c>
      <c r="X80" s="106">
        <v>0</v>
      </c>
      <c r="Y80" s="106">
        <v>0</v>
      </c>
      <c r="Z80" s="106">
        <v>0</v>
      </c>
      <c r="AA80" s="106">
        <v>0</v>
      </c>
      <c r="AB80" s="106">
        <v>0</v>
      </c>
      <c r="AC80" s="106">
        <v>0</v>
      </c>
      <c r="AD80" s="106">
        <v>0</v>
      </c>
      <c r="AE80" s="106">
        <v>0</v>
      </c>
      <c r="AF80" s="106">
        <v>0</v>
      </c>
      <c r="AG80" s="106">
        <v>0</v>
      </c>
      <c r="AH80" s="106">
        <v>0</v>
      </c>
      <c r="AI80" s="106">
        <v>0</v>
      </c>
      <c r="AJ80" s="106">
        <v>0</v>
      </c>
    </row>
    <row r="81" spans="1:36" x14ac:dyDescent="0.25">
      <c r="A81" s="104" t="s">
        <v>124</v>
      </c>
      <c r="B81" s="107">
        <v>2083</v>
      </c>
      <c r="C81" s="107">
        <v>1910</v>
      </c>
      <c r="D81" s="107">
        <v>2316</v>
      </c>
      <c r="E81" s="107">
        <v>2476</v>
      </c>
      <c r="F81" s="107">
        <v>3341</v>
      </c>
      <c r="G81" s="107">
        <v>2941</v>
      </c>
      <c r="H81" s="107">
        <v>2444</v>
      </c>
      <c r="I81" s="107">
        <v>2562</v>
      </c>
      <c r="J81" s="107">
        <v>2774</v>
      </c>
      <c r="K81" s="107">
        <v>2790</v>
      </c>
      <c r="L81" s="107">
        <v>3798</v>
      </c>
      <c r="M81" s="107">
        <v>3652</v>
      </c>
      <c r="N81" s="107">
        <v>3340</v>
      </c>
      <c r="O81" s="107">
        <v>4049</v>
      </c>
      <c r="P81" s="107">
        <v>6350</v>
      </c>
      <c r="Q81" s="108">
        <v>6579.1409999999996</v>
      </c>
      <c r="R81" s="108">
        <v>6349.7370000000001</v>
      </c>
      <c r="S81" s="107">
        <v>6310.53</v>
      </c>
      <c r="T81" s="108">
        <v>7425.2110000000002</v>
      </c>
      <c r="U81" s="108">
        <v>7163.7280000000001</v>
      </c>
      <c r="V81" s="108">
        <v>7121.4120000000003</v>
      </c>
      <c r="W81" s="108">
        <v>6474.2039999999997</v>
      </c>
      <c r="X81" s="108">
        <v>5926.3879999999999</v>
      </c>
      <c r="Y81" s="107">
        <v>6131.58</v>
      </c>
      <c r="Z81" s="108">
        <v>6348.3389999999999</v>
      </c>
      <c r="AA81" s="108">
        <v>6431.5540000000001</v>
      </c>
      <c r="AB81" s="108">
        <v>7093.9260000000004</v>
      </c>
      <c r="AC81" s="108">
        <v>6533.7979999999998</v>
      </c>
      <c r="AD81" s="108">
        <v>7198.5110000000004</v>
      </c>
      <c r="AE81" s="108">
        <v>6969.0910000000003</v>
      </c>
      <c r="AF81" s="108">
        <v>6634.0129999999999</v>
      </c>
      <c r="AG81" s="108">
        <v>6179.6139999999996</v>
      </c>
      <c r="AH81" s="108">
        <v>8005.3710000000001</v>
      </c>
      <c r="AI81" s="108">
        <v>6608.6360000000004</v>
      </c>
      <c r="AJ81" s="108">
        <v>6132.2219999999998</v>
      </c>
    </row>
    <row r="82" spans="1:36" x14ac:dyDescent="0.25">
      <c r="A82" s="104" t="s">
        <v>126</v>
      </c>
      <c r="B82" s="106">
        <v>23</v>
      </c>
      <c r="C82" s="106">
        <v>77</v>
      </c>
      <c r="D82" s="106">
        <v>131.5</v>
      </c>
      <c r="E82" s="106">
        <v>69</v>
      </c>
      <c r="F82" s="106">
        <v>165</v>
      </c>
      <c r="G82" s="106">
        <v>186</v>
      </c>
      <c r="H82" s="106">
        <v>136.5</v>
      </c>
      <c r="I82" s="106">
        <v>54</v>
      </c>
      <c r="J82" s="106">
        <v>106</v>
      </c>
      <c r="K82" s="106">
        <v>51</v>
      </c>
      <c r="L82" s="106">
        <v>22</v>
      </c>
      <c r="M82" s="106">
        <v>44</v>
      </c>
      <c r="N82" s="106">
        <v>50</v>
      </c>
      <c r="O82" s="106">
        <v>487</v>
      </c>
      <c r="P82" s="106">
        <v>501</v>
      </c>
      <c r="Q82" s="106">
        <v>490</v>
      </c>
      <c r="R82" s="106">
        <v>503</v>
      </c>
      <c r="S82" s="105">
        <v>899.41600000000005</v>
      </c>
      <c r="T82" s="106">
        <v>505.4</v>
      </c>
      <c r="U82" s="105">
        <v>564.423</v>
      </c>
      <c r="V82" s="105">
        <v>459.52300000000002</v>
      </c>
      <c r="W82" s="105">
        <v>592.43899999999996</v>
      </c>
      <c r="X82" s="105">
        <v>648.65499999999997</v>
      </c>
      <c r="Y82" s="105">
        <v>398.27600000000001</v>
      </c>
      <c r="Z82" s="105">
        <v>388.99599999999998</v>
      </c>
      <c r="AA82" s="106">
        <v>414.66</v>
      </c>
      <c r="AB82" s="105">
        <v>543.37599999999998</v>
      </c>
      <c r="AC82" s="105">
        <v>451.90300000000002</v>
      </c>
      <c r="AD82" s="105">
        <v>236.79400000000001</v>
      </c>
      <c r="AE82" s="105">
        <v>232.40700000000001</v>
      </c>
      <c r="AF82" s="106">
        <v>147.13999999999999</v>
      </c>
      <c r="AG82" s="105">
        <v>240.417</v>
      </c>
      <c r="AH82" s="105">
        <v>215.28399999999999</v>
      </c>
      <c r="AI82" s="105">
        <v>525.83900000000006</v>
      </c>
      <c r="AJ82" s="105">
        <v>311.12299999999999</v>
      </c>
    </row>
    <row r="83" spans="1:36" x14ac:dyDescent="0.25">
      <c r="A83" s="104" t="s">
        <v>127</v>
      </c>
      <c r="B83" s="107">
        <v>0</v>
      </c>
      <c r="C83" s="107">
        <v>0</v>
      </c>
      <c r="D83" s="107">
        <v>0</v>
      </c>
      <c r="E83" s="107">
        <v>0</v>
      </c>
      <c r="F83" s="107">
        <v>0</v>
      </c>
      <c r="G83" s="107">
        <v>0</v>
      </c>
      <c r="H83" s="107">
        <v>0</v>
      </c>
      <c r="I83" s="107">
        <v>0</v>
      </c>
      <c r="J83" s="107">
        <v>0</v>
      </c>
      <c r="K83" s="107">
        <v>0</v>
      </c>
      <c r="L83" s="107">
        <v>0</v>
      </c>
      <c r="M83" s="107">
        <v>0</v>
      </c>
      <c r="N83" s="107">
        <v>0</v>
      </c>
      <c r="O83" s="107">
        <v>0</v>
      </c>
      <c r="P83" s="107">
        <v>0</v>
      </c>
      <c r="Q83" s="107">
        <v>0</v>
      </c>
      <c r="R83" s="107">
        <v>2</v>
      </c>
      <c r="S83" s="107">
        <v>0</v>
      </c>
      <c r="T83" s="107">
        <v>105</v>
      </c>
      <c r="U83" s="107">
        <v>159</v>
      </c>
      <c r="V83" s="107">
        <v>99</v>
      </c>
      <c r="W83" s="107">
        <v>98</v>
      </c>
      <c r="X83" s="107">
        <v>64</v>
      </c>
      <c r="Y83" s="107">
        <v>66</v>
      </c>
      <c r="Z83" s="107">
        <v>16</v>
      </c>
      <c r="AA83" s="107">
        <v>0</v>
      </c>
      <c r="AB83" s="107">
        <v>0</v>
      </c>
      <c r="AC83" s="107">
        <v>0</v>
      </c>
      <c r="AD83" s="107">
        <v>0</v>
      </c>
      <c r="AE83" s="107">
        <v>0</v>
      </c>
      <c r="AF83" s="107">
        <v>0</v>
      </c>
      <c r="AG83" s="107">
        <v>0</v>
      </c>
      <c r="AH83" s="107">
        <v>0</v>
      </c>
      <c r="AI83" s="107">
        <v>1</v>
      </c>
      <c r="AJ83" s="107">
        <v>2</v>
      </c>
    </row>
    <row r="84" spans="1:36" x14ac:dyDescent="0.25">
      <c r="A84" s="104" t="s">
        <v>132</v>
      </c>
      <c r="B84" s="106">
        <v>0</v>
      </c>
      <c r="C84" s="106">
        <v>0</v>
      </c>
      <c r="D84" s="106">
        <v>0</v>
      </c>
      <c r="E84" s="106">
        <v>0</v>
      </c>
      <c r="F84" s="106">
        <v>0</v>
      </c>
      <c r="G84" s="106">
        <v>0</v>
      </c>
      <c r="H84" s="106">
        <v>0</v>
      </c>
      <c r="I84" s="106">
        <v>0</v>
      </c>
      <c r="J84" s="106">
        <v>0</v>
      </c>
      <c r="K84" s="106">
        <v>0</v>
      </c>
      <c r="L84" s="106">
        <v>0</v>
      </c>
      <c r="M84" s="106">
        <v>0</v>
      </c>
      <c r="N84" s="106">
        <v>0</v>
      </c>
      <c r="O84" s="106">
        <v>0</v>
      </c>
      <c r="P84" s="106">
        <v>0</v>
      </c>
      <c r="Q84" s="106">
        <v>1</v>
      </c>
      <c r="R84" s="106">
        <v>0</v>
      </c>
      <c r="S84" s="106">
        <v>0</v>
      </c>
      <c r="T84" s="106">
        <v>1</v>
      </c>
      <c r="U84" s="106">
        <v>1</v>
      </c>
      <c r="V84" s="106">
        <v>1</v>
      </c>
      <c r="W84" s="106">
        <v>0</v>
      </c>
      <c r="X84" s="106">
        <v>1</v>
      </c>
      <c r="Y84" s="106">
        <v>0</v>
      </c>
      <c r="Z84" s="106">
        <v>1</v>
      </c>
      <c r="AA84" s="106">
        <v>0</v>
      </c>
      <c r="AB84" s="106">
        <v>0</v>
      </c>
      <c r="AC84" s="106">
        <v>0</v>
      </c>
      <c r="AD84" s="106">
        <v>1</v>
      </c>
      <c r="AE84" s="106">
        <v>0</v>
      </c>
      <c r="AF84" s="106">
        <v>0</v>
      </c>
      <c r="AG84" s="106">
        <v>1</v>
      </c>
      <c r="AH84" s="106">
        <v>1</v>
      </c>
      <c r="AI84" s="106">
        <v>0</v>
      </c>
      <c r="AJ84" s="106">
        <v>0</v>
      </c>
    </row>
    <row r="85" spans="1:36" x14ac:dyDescent="0.25">
      <c r="A85" s="104" t="s">
        <v>134</v>
      </c>
      <c r="B85" s="107">
        <v>1</v>
      </c>
      <c r="C85" s="107">
        <v>3</v>
      </c>
      <c r="D85" s="107">
        <v>2</v>
      </c>
      <c r="E85" s="107">
        <v>2</v>
      </c>
      <c r="F85" s="107">
        <v>3</v>
      </c>
      <c r="G85" s="107">
        <v>10</v>
      </c>
      <c r="H85" s="107">
        <v>2</v>
      </c>
      <c r="I85" s="107">
        <v>1</v>
      </c>
      <c r="J85" s="107">
        <v>0</v>
      </c>
      <c r="K85" s="107">
        <v>1</v>
      </c>
      <c r="L85" s="107">
        <v>0</v>
      </c>
      <c r="M85" s="107">
        <v>3</v>
      </c>
      <c r="N85" s="107">
        <v>3</v>
      </c>
      <c r="O85" s="107">
        <v>20</v>
      </c>
      <c r="P85" s="107">
        <v>1</v>
      </c>
      <c r="Q85" s="107">
        <v>2</v>
      </c>
      <c r="R85" s="107">
        <v>11</v>
      </c>
      <c r="S85" s="107">
        <v>14</v>
      </c>
      <c r="T85" s="107">
        <v>13</v>
      </c>
      <c r="U85" s="107">
        <v>12</v>
      </c>
      <c r="V85" s="107">
        <v>23</v>
      </c>
      <c r="W85" s="107">
        <v>14</v>
      </c>
      <c r="X85" s="107">
        <v>10</v>
      </c>
      <c r="Y85" s="107">
        <v>22</v>
      </c>
      <c r="Z85" s="107">
        <v>13.6</v>
      </c>
      <c r="AA85" s="107">
        <v>10.1</v>
      </c>
      <c r="AB85" s="107">
        <v>7</v>
      </c>
      <c r="AC85" s="107">
        <v>13.21</v>
      </c>
      <c r="AD85" s="108">
        <v>12.506</v>
      </c>
      <c r="AE85" s="108">
        <v>4.1070000000000002</v>
      </c>
      <c r="AF85" s="107">
        <v>2.2999999999999998</v>
      </c>
      <c r="AG85" s="107">
        <v>18.8</v>
      </c>
      <c r="AH85" s="107">
        <v>16.3</v>
      </c>
      <c r="AI85" s="107">
        <v>2.4</v>
      </c>
      <c r="AJ85" s="107">
        <v>3.2</v>
      </c>
    </row>
    <row r="86" spans="1:36" x14ac:dyDescent="0.25">
      <c r="A86" s="104" t="s">
        <v>135</v>
      </c>
      <c r="B86" s="106">
        <v>2429.6</v>
      </c>
      <c r="C86" s="106">
        <v>2598.3000000000002</v>
      </c>
      <c r="D86" s="106">
        <v>2540.3200000000002</v>
      </c>
      <c r="E86" s="106">
        <v>2759.6</v>
      </c>
      <c r="F86" s="106">
        <v>3117.9</v>
      </c>
      <c r="G86" s="106">
        <v>3586.4</v>
      </c>
      <c r="H86" s="106">
        <v>4065.9</v>
      </c>
      <c r="I86" s="106">
        <v>3556.9</v>
      </c>
      <c r="J86" s="106">
        <v>3808.9</v>
      </c>
      <c r="K86" s="106">
        <v>4420.8</v>
      </c>
      <c r="L86" s="106">
        <v>4109.28</v>
      </c>
      <c r="M86" s="105">
        <v>7325.4809999999998</v>
      </c>
      <c r="N86" s="106">
        <v>7223.46</v>
      </c>
      <c r="O86" s="105">
        <v>8486.6980000000003</v>
      </c>
      <c r="P86" s="105">
        <v>5276.6719999999996</v>
      </c>
      <c r="Q86" s="105">
        <v>5249.8530000000001</v>
      </c>
      <c r="R86" s="105">
        <v>14004.137000000001</v>
      </c>
      <c r="S86" s="105">
        <v>10390.204</v>
      </c>
      <c r="T86" s="105">
        <v>9691.5249999999996</v>
      </c>
      <c r="U86" s="105">
        <v>10557.630999999999</v>
      </c>
      <c r="V86" s="105">
        <v>10928.236999999999</v>
      </c>
      <c r="W86" s="105">
        <v>10620.884</v>
      </c>
      <c r="X86" s="106">
        <v>10872.17</v>
      </c>
      <c r="Y86" s="105">
        <v>11280.833000000001</v>
      </c>
      <c r="Z86" s="105">
        <v>10461.370999999999</v>
      </c>
      <c r="AA86" s="105">
        <v>9988.9629999999997</v>
      </c>
      <c r="AB86" s="105">
        <v>9840.0249999999996</v>
      </c>
      <c r="AC86" s="105">
        <v>10519.788</v>
      </c>
      <c r="AD86" s="105">
        <v>9707.1219999999994</v>
      </c>
      <c r="AE86" s="105">
        <v>10271.334999999999</v>
      </c>
      <c r="AF86" s="105">
        <v>10086.893</v>
      </c>
      <c r="AG86" s="105">
        <v>10610.200999999999</v>
      </c>
      <c r="AH86" s="105">
        <v>11990.433000000001</v>
      </c>
      <c r="AI86" s="105">
        <v>11623.516</v>
      </c>
      <c r="AJ86" s="105">
        <v>12000.338</v>
      </c>
    </row>
    <row r="87" spans="1:36" x14ac:dyDescent="0.25">
      <c r="A87" s="104" t="s">
        <v>139</v>
      </c>
      <c r="B87" s="107">
        <v>149053.4</v>
      </c>
      <c r="C87" s="107">
        <v>157477.70000000001</v>
      </c>
      <c r="D87" s="107">
        <v>172446.18</v>
      </c>
      <c r="E87" s="107">
        <v>161345.4</v>
      </c>
      <c r="F87" s="107">
        <v>164198.1</v>
      </c>
      <c r="G87" s="107">
        <v>172759.6</v>
      </c>
      <c r="H87" s="107">
        <v>168071.1</v>
      </c>
      <c r="I87" s="107">
        <v>162622.1</v>
      </c>
      <c r="J87" s="107">
        <v>169070.1</v>
      </c>
      <c r="K87" s="107">
        <v>157175.20000000001</v>
      </c>
      <c r="L87" s="107">
        <v>140496</v>
      </c>
      <c r="M87" s="107">
        <v>127840</v>
      </c>
      <c r="N87" s="107">
        <v>143617</v>
      </c>
      <c r="O87" s="107">
        <v>127389</v>
      </c>
      <c r="P87" s="107">
        <v>105302</v>
      </c>
      <c r="Q87" s="108">
        <v>100096.88099999999</v>
      </c>
      <c r="R87" s="108">
        <v>84937.917000000001</v>
      </c>
      <c r="S87" s="108">
        <v>67132.990999999995</v>
      </c>
      <c r="T87" s="107">
        <v>62616.68</v>
      </c>
      <c r="U87" s="108">
        <v>54988.231</v>
      </c>
      <c r="V87" s="108">
        <v>45027.423999999999</v>
      </c>
      <c r="W87" s="108">
        <v>39616.355000000003</v>
      </c>
      <c r="X87" s="108">
        <v>36542.661999999997</v>
      </c>
      <c r="Y87" s="107">
        <v>29756.36</v>
      </c>
      <c r="Z87" s="107">
        <v>29034.47</v>
      </c>
      <c r="AA87" s="108">
        <v>31154.800999999999</v>
      </c>
      <c r="AB87" s="108">
        <v>30208.477999999999</v>
      </c>
      <c r="AC87" s="107">
        <v>28736.81</v>
      </c>
      <c r="AD87" s="108">
        <v>25614.227999999999</v>
      </c>
      <c r="AE87" s="108">
        <v>24893.741000000002</v>
      </c>
      <c r="AF87" s="108">
        <v>21345.440999999999</v>
      </c>
      <c r="AG87" s="108">
        <v>23286.478999999999</v>
      </c>
      <c r="AH87" s="108">
        <v>24899.807000000001</v>
      </c>
      <c r="AI87" s="108">
        <v>20058.084999999999</v>
      </c>
      <c r="AJ87" s="108">
        <v>19570.274000000001</v>
      </c>
    </row>
    <row r="88" spans="1:36" x14ac:dyDescent="0.25">
      <c r="A88" s="104" t="s">
        <v>183</v>
      </c>
      <c r="B88" s="106">
        <v>35926</v>
      </c>
      <c r="C88" s="106">
        <v>41834</v>
      </c>
      <c r="D88" s="106">
        <v>34272</v>
      </c>
      <c r="E88" s="106">
        <v>30887</v>
      </c>
      <c r="F88" s="106">
        <v>29072</v>
      </c>
      <c r="G88" s="106">
        <v>31199</v>
      </c>
      <c r="H88" s="106">
        <v>30365</v>
      </c>
      <c r="I88" s="106">
        <v>30710</v>
      </c>
      <c r="J88" s="106">
        <v>31531</v>
      </c>
      <c r="K88" s="106">
        <v>28312</v>
      </c>
      <c r="L88" s="106">
        <v>20313</v>
      </c>
      <c r="M88" s="106">
        <v>26539</v>
      </c>
      <c r="N88" s="106">
        <v>24488</v>
      </c>
      <c r="O88" s="106">
        <v>24897</v>
      </c>
      <c r="P88" s="106">
        <v>20650</v>
      </c>
      <c r="Q88" s="106">
        <v>20024</v>
      </c>
      <c r="R88" s="106">
        <v>20388</v>
      </c>
      <c r="S88" s="106">
        <v>21534</v>
      </c>
      <c r="T88" s="106">
        <v>17947</v>
      </c>
      <c r="U88" s="106">
        <v>15497</v>
      </c>
      <c r="V88" s="106">
        <v>16424</v>
      </c>
      <c r="W88" s="105">
        <v>14845.425999999999</v>
      </c>
      <c r="X88" s="105">
        <v>15784.647999999999</v>
      </c>
      <c r="Y88" s="105">
        <v>13865.931</v>
      </c>
      <c r="Z88" s="105">
        <v>12610.502</v>
      </c>
      <c r="AA88" s="105">
        <v>11140.448</v>
      </c>
      <c r="AB88" s="105">
        <v>10676.752</v>
      </c>
      <c r="AC88" s="105">
        <v>10126.938</v>
      </c>
      <c r="AD88" s="105">
        <v>10219.016</v>
      </c>
      <c r="AE88" s="105">
        <v>8970.0789999999997</v>
      </c>
      <c r="AF88" s="105">
        <v>9121.3160000000007</v>
      </c>
      <c r="AG88" s="105">
        <v>5954.6350000000002</v>
      </c>
      <c r="AH88" s="105">
        <v>10116.146000000001</v>
      </c>
      <c r="AI88" s="105">
        <v>9241.9789999999994</v>
      </c>
      <c r="AJ88" s="105">
        <v>8355.6319999999996</v>
      </c>
    </row>
    <row r="89" spans="1:36" x14ac:dyDescent="0.25">
      <c r="A89" s="104" t="s">
        <v>145</v>
      </c>
      <c r="B89" s="107">
        <v>7</v>
      </c>
      <c r="C89" s="107">
        <v>0</v>
      </c>
      <c r="D89" s="107">
        <v>0</v>
      </c>
      <c r="E89" s="107">
        <v>125</v>
      </c>
      <c r="F89" s="107">
        <v>378</v>
      </c>
      <c r="G89" s="107">
        <v>93</v>
      </c>
      <c r="H89" s="107">
        <v>0</v>
      </c>
      <c r="I89" s="107">
        <v>0</v>
      </c>
      <c r="J89" s="107">
        <v>0</v>
      </c>
      <c r="K89" s="107">
        <v>0</v>
      </c>
      <c r="L89" s="107">
        <v>336</v>
      </c>
      <c r="M89" s="107">
        <v>137</v>
      </c>
      <c r="N89" s="107">
        <v>337</v>
      </c>
      <c r="O89" s="107">
        <v>1242</v>
      </c>
      <c r="P89" s="107">
        <v>4246</v>
      </c>
      <c r="Q89" s="107">
        <v>4754</v>
      </c>
      <c r="R89" s="107">
        <v>3699</v>
      </c>
      <c r="S89" s="107">
        <v>3006</v>
      </c>
      <c r="T89" s="107">
        <v>3233</v>
      </c>
      <c r="U89" s="107">
        <v>3996</v>
      </c>
      <c r="V89" s="107">
        <v>2006</v>
      </c>
      <c r="W89" s="108">
        <v>2333.0720000000001</v>
      </c>
      <c r="X89" s="108">
        <v>2717.2330000000002</v>
      </c>
      <c r="Y89" s="108">
        <v>1687.2629999999999</v>
      </c>
      <c r="Z89" s="107">
        <v>1642</v>
      </c>
      <c r="AA89" s="107">
        <v>4158</v>
      </c>
      <c r="AB89" s="107">
        <v>3598</v>
      </c>
      <c r="AC89" s="108">
        <v>2279.6570000000002</v>
      </c>
      <c r="AD89" s="108">
        <v>1577.3789999999999</v>
      </c>
      <c r="AE89" s="108">
        <v>621.46199999999999</v>
      </c>
      <c r="AF89" s="108">
        <v>516.87900000000002</v>
      </c>
      <c r="AG89" s="108">
        <v>429.95100000000002</v>
      </c>
      <c r="AH89" s="108">
        <v>496.39400000000001</v>
      </c>
      <c r="AI89" s="108">
        <v>355.41300000000001</v>
      </c>
      <c r="AJ89" s="108">
        <v>402.512</v>
      </c>
    </row>
    <row r="90" spans="1:36" x14ac:dyDescent="0.25">
      <c r="A90" s="104" t="s">
        <v>146</v>
      </c>
      <c r="B90" s="106">
        <v>0</v>
      </c>
      <c r="C90" s="106">
        <v>0</v>
      </c>
      <c r="D90" s="106">
        <v>0</v>
      </c>
      <c r="E90" s="106">
        <v>0</v>
      </c>
      <c r="F90" s="106">
        <v>0</v>
      </c>
      <c r="G90" s="106">
        <v>2231</v>
      </c>
      <c r="H90" s="106">
        <v>4026</v>
      </c>
      <c r="I90" s="106">
        <v>4507</v>
      </c>
      <c r="J90" s="106">
        <v>3681</v>
      </c>
      <c r="K90" s="106">
        <v>3823</v>
      </c>
      <c r="L90" s="106">
        <v>3776</v>
      </c>
      <c r="M90" s="106">
        <v>3378</v>
      </c>
      <c r="N90" s="106">
        <v>2646</v>
      </c>
      <c r="O90" s="106">
        <v>246</v>
      </c>
      <c r="P90" s="106">
        <v>1312</v>
      </c>
      <c r="Q90" s="106">
        <v>223</v>
      </c>
      <c r="R90" s="106">
        <v>126</v>
      </c>
      <c r="S90" s="106">
        <v>125</v>
      </c>
      <c r="T90" s="106">
        <v>4</v>
      </c>
      <c r="U90" s="106">
        <v>0</v>
      </c>
      <c r="V90" s="106">
        <v>0</v>
      </c>
      <c r="W90" s="106">
        <v>0</v>
      </c>
      <c r="X90" s="106">
        <v>0</v>
      </c>
      <c r="Y90" s="106">
        <v>0</v>
      </c>
      <c r="Z90" s="106">
        <v>0</v>
      </c>
      <c r="AA90" s="106">
        <v>0</v>
      </c>
      <c r="AB90" s="106">
        <v>0</v>
      </c>
      <c r="AC90" s="106">
        <v>0</v>
      </c>
      <c r="AD90" s="106">
        <v>0</v>
      </c>
      <c r="AE90" s="106">
        <v>0</v>
      </c>
      <c r="AF90" s="106">
        <v>0</v>
      </c>
      <c r="AG90" s="106">
        <v>0</v>
      </c>
      <c r="AH90" s="106">
        <v>0</v>
      </c>
      <c r="AI90" s="106">
        <v>0</v>
      </c>
      <c r="AJ90" s="106">
        <v>0</v>
      </c>
    </row>
    <row r="91" spans="1:36" x14ac:dyDescent="0.25">
      <c r="A91" s="104" t="s">
        <v>184</v>
      </c>
      <c r="B91" s="108">
        <v>10925.465</v>
      </c>
      <c r="C91" s="108">
        <v>11228.465</v>
      </c>
      <c r="D91" s="108">
        <v>11755.332</v>
      </c>
      <c r="E91" s="108">
        <v>12757.849</v>
      </c>
      <c r="F91" s="108">
        <v>13482.115</v>
      </c>
      <c r="G91" s="108">
        <v>14950.868</v>
      </c>
      <c r="H91" s="108">
        <v>13859.317999999999</v>
      </c>
      <c r="I91" s="108">
        <v>17230.621999999999</v>
      </c>
      <c r="J91" s="108">
        <v>19254.002</v>
      </c>
      <c r="K91" s="108">
        <v>18805.655999999999</v>
      </c>
      <c r="L91" s="108">
        <v>19767.967000000001</v>
      </c>
      <c r="M91" s="108">
        <v>20162.395</v>
      </c>
      <c r="N91" s="108">
        <v>23474.902999999998</v>
      </c>
      <c r="O91" s="108">
        <v>28033.875</v>
      </c>
      <c r="P91" s="108">
        <v>36248.347999999998</v>
      </c>
      <c r="Q91" s="108">
        <v>40582.771000000001</v>
      </c>
      <c r="R91" s="108">
        <v>45161.699000000001</v>
      </c>
      <c r="S91" s="108">
        <v>47666.368999999999</v>
      </c>
      <c r="T91" s="108">
        <v>53181.277000000002</v>
      </c>
      <c r="U91" s="108">
        <v>57345.923000000003</v>
      </c>
      <c r="V91" s="108">
        <v>64982.125</v>
      </c>
      <c r="W91" s="108">
        <v>67133.195999999996</v>
      </c>
      <c r="X91" s="108">
        <v>72068.354999999996</v>
      </c>
      <c r="Y91" s="108">
        <v>70502.292000000001</v>
      </c>
      <c r="Z91" s="108">
        <v>70713.517999999996</v>
      </c>
      <c r="AA91" s="108">
        <v>72072.544999999998</v>
      </c>
      <c r="AB91" s="108">
        <v>72379.154999999999</v>
      </c>
      <c r="AC91" s="108">
        <v>74264.850999999995</v>
      </c>
      <c r="AD91" s="108">
        <v>76229.258000000002</v>
      </c>
      <c r="AE91" s="108">
        <v>80567.258000000002</v>
      </c>
      <c r="AF91" s="108">
        <v>82951.154999999999</v>
      </c>
      <c r="AG91" s="107">
        <v>92672.31</v>
      </c>
      <c r="AH91" s="108">
        <v>88394.566999999995</v>
      </c>
      <c r="AI91" s="108">
        <v>78397.661999999997</v>
      </c>
      <c r="AJ91" s="108">
        <v>75031.561000000002</v>
      </c>
    </row>
    <row r="92" spans="1:36" x14ac:dyDescent="0.25">
      <c r="A92" s="104" t="s">
        <v>185</v>
      </c>
      <c r="B92" s="106">
        <v>0</v>
      </c>
      <c r="C92" s="106">
        <v>0</v>
      </c>
      <c r="D92" s="106">
        <v>0</v>
      </c>
      <c r="E92" s="106">
        <v>0</v>
      </c>
      <c r="F92" s="106">
        <v>0</v>
      </c>
      <c r="G92" s="106">
        <v>0</v>
      </c>
      <c r="H92" s="106">
        <v>0</v>
      </c>
      <c r="I92" s="106">
        <v>0</v>
      </c>
      <c r="J92" s="106">
        <v>0</v>
      </c>
      <c r="K92" s="106">
        <v>0</v>
      </c>
      <c r="L92" s="106">
        <v>0</v>
      </c>
      <c r="M92" s="106">
        <v>0</v>
      </c>
      <c r="N92" s="106">
        <v>0</v>
      </c>
      <c r="O92" s="106">
        <v>0</v>
      </c>
      <c r="P92" s="106">
        <v>0</v>
      </c>
      <c r="Q92" s="106">
        <v>0</v>
      </c>
      <c r="R92" s="106">
        <v>0</v>
      </c>
      <c r="S92" s="106">
        <v>0</v>
      </c>
      <c r="T92" s="106">
        <v>0</v>
      </c>
      <c r="U92" s="106">
        <v>0</v>
      </c>
      <c r="V92" s="106">
        <v>0</v>
      </c>
      <c r="W92" s="106">
        <v>0</v>
      </c>
      <c r="X92" s="106">
        <v>0</v>
      </c>
      <c r="Y92" s="106">
        <v>0</v>
      </c>
      <c r="Z92" s="106">
        <v>0</v>
      </c>
      <c r="AA92" s="106">
        <v>0</v>
      </c>
      <c r="AB92" s="106">
        <v>0</v>
      </c>
      <c r="AC92" s="106">
        <v>0</v>
      </c>
      <c r="AD92" s="106">
        <v>0</v>
      </c>
      <c r="AE92" s="106">
        <v>0</v>
      </c>
      <c r="AF92" s="106">
        <v>0</v>
      </c>
      <c r="AG92" s="106">
        <v>0</v>
      </c>
      <c r="AH92" s="106">
        <v>0</v>
      </c>
      <c r="AI92" s="106">
        <v>0</v>
      </c>
      <c r="AJ92" s="106">
        <v>0</v>
      </c>
    </row>
    <row r="93" spans="1:36" x14ac:dyDescent="0.25">
      <c r="A93" s="104" t="s">
        <v>186</v>
      </c>
      <c r="B93" s="107">
        <v>0</v>
      </c>
      <c r="C93" s="107">
        <v>0</v>
      </c>
      <c r="D93" s="107">
        <v>0</v>
      </c>
      <c r="E93" s="107">
        <v>0</v>
      </c>
      <c r="F93" s="107">
        <v>0</v>
      </c>
      <c r="G93" s="107">
        <v>0</v>
      </c>
      <c r="H93" s="107">
        <v>0</v>
      </c>
      <c r="I93" s="107">
        <v>0</v>
      </c>
      <c r="J93" s="107">
        <v>0</v>
      </c>
      <c r="K93" s="107">
        <v>0</v>
      </c>
      <c r="L93" s="107">
        <v>0</v>
      </c>
      <c r="M93" s="107">
        <v>0</v>
      </c>
      <c r="N93" s="107">
        <v>0</v>
      </c>
      <c r="O93" s="107">
        <v>0</v>
      </c>
      <c r="P93" s="107">
        <v>0</v>
      </c>
      <c r="Q93" s="107">
        <v>0</v>
      </c>
      <c r="R93" s="107">
        <v>0</v>
      </c>
      <c r="S93" s="107">
        <v>0</v>
      </c>
      <c r="T93" s="107">
        <v>0</v>
      </c>
      <c r="U93" s="107">
        <v>1</v>
      </c>
      <c r="V93" s="107">
        <v>88.7</v>
      </c>
      <c r="W93" s="107">
        <v>28.7</v>
      </c>
      <c r="X93" s="107">
        <v>22.6</v>
      </c>
      <c r="Y93" s="107">
        <v>24.8</v>
      </c>
      <c r="Z93" s="107">
        <v>25.9</v>
      </c>
      <c r="AA93" s="107">
        <v>27.7</v>
      </c>
      <c r="AB93" s="107">
        <v>28.2</v>
      </c>
      <c r="AC93" s="108">
        <v>27.350999999999999</v>
      </c>
      <c r="AD93" s="107">
        <v>30.09</v>
      </c>
      <c r="AE93" s="108">
        <v>29.541</v>
      </c>
      <c r="AF93" s="108">
        <v>22.814</v>
      </c>
      <c r="AG93" s="108">
        <v>12.787000000000001</v>
      </c>
      <c r="AH93" s="107">
        <v>11.74</v>
      </c>
      <c r="AI93" s="108">
        <v>11.896000000000001</v>
      </c>
      <c r="AJ93" s="108">
        <v>13.081</v>
      </c>
    </row>
    <row r="94" spans="1:36" x14ac:dyDescent="0.25">
      <c r="A94" s="104" t="s">
        <v>187</v>
      </c>
      <c r="B94" s="106">
        <v>0</v>
      </c>
      <c r="C94" s="106">
        <v>0</v>
      </c>
      <c r="D94" s="106">
        <v>0</v>
      </c>
      <c r="E94" s="106">
        <v>0</v>
      </c>
      <c r="F94" s="106">
        <v>0</v>
      </c>
      <c r="G94" s="106">
        <v>0</v>
      </c>
      <c r="H94" s="106">
        <v>0</v>
      </c>
      <c r="I94" s="106">
        <v>0</v>
      </c>
      <c r="J94" s="106">
        <v>0</v>
      </c>
      <c r="K94" s="106">
        <v>0</v>
      </c>
      <c r="L94" s="106">
        <v>0</v>
      </c>
      <c r="M94" s="106">
        <v>15</v>
      </c>
      <c r="N94" s="106">
        <v>103.43</v>
      </c>
      <c r="O94" s="106">
        <v>56.09</v>
      </c>
      <c r="P94" s="106">
        <v>571.01</v>
      </c>
      <c r="Q94" s="105">
        <v>1767.9580000000001</v>
      </c>
      <c r="R94" s="105">
        <v>2913.9110000000001</v>
      </c>
      <c r="S94" s="105">
        <v>1506.421</v>
      </c>
      <c r="T94" s="105">
        <v>1860.6969999999999</v>
      </c>
      <c r="U94" s="105">
        <v>3830.7710000000002</v>
      </c>
      <c r="V94" s="106">
        <v>4796.8599999999997</v>
      </c>
      <c r="W94" s="105">
        <v>3305.1329999999998</v>
      </c>
      <c r="X94" s="105">
        <v>3501.8049999999998</v>
      </c>
      <c r="Y94" s="105">
        <v>4271.2449999999999</v>
      </c>
      <c r="Z94" s="105">
        <v>4793.2340000000004</v>
      </c>
      <c r="AA94" s="105">
        <v>5466.6509999999998</v>
      </c>
      <c r="AB94" s="106">
        <v>5262.76</v>
      </c>
      <c r="AC94" s="105">
        <v>4962.8010000000004</v>
      </c>
      <c r="AD94" s="105">
        <v>4796.9210000000003</v>
      </c>
      <c r="AE94" s="105">
        <v>5103.3509999999997</v>
      </c>
      <c r="AF94" s="105">
        <v>5022.4570000000003</v>
      </c>
      <c r="AG94" s="105">
        <v>4434.1289999999999</v>
      </c>
      <c r="AH94" s="105">
        <v>3344.1129999999998</v>
      </c>
      <c r="AI94" s="105">
        <v>2887.538</v>
      </c>
      <c r="AJ94" s="105">
        <v>3701.7539999999999</v>
      </c>
    </row>
    <row r="95" spans="1:36" x14ac:dyDescent="0.25">
      <c r="A95" s="104" t="s">
        <v>188</v>
      </c>
      <c r="B95" s="108">
        <v>459.21699999999998</v>
      </c>
      <c r="C95" s="108">
        <v>657.04499999999996</v>
      </c>
      <c r="D95" s="108">
        <v>619.096</v>
      </c>
      <c r="E95" s="108">
        <v>864.18200000000002</v>
      </c>
      <c r="F95" s="108">
        <v>992.173</v>
      </c>
      <c r="G95" s="108">
        <v>1501.4390000000001</v>
      </c>
      <c r="H95" s="108">
        <v>1665.7159999999999</v>
      </c>
      <c r="I95" s="108">
        <v>2229.7979999999998</v>
      </c>
      <c r="J95" s="108">
        <v>2406.7809999999999</v>
      </c>
      <c r="K95" s="108">
        <v>2733.172</v>
      </c>
      <c r="L95" s="108">
        <v>3872.038</v>
      </c>
      <c r="M95" s="108">
        <v>4586.6260000000002</v>
      </c>
      <c r="N95" s="108">
        <v>5851.9279999999999</v>
      </c>
      <c r="O95" s="108">
        <v>6875.2529999999997</v>
      </c>
      <c r="P95" s="108">
        <v>7090.067</v>
      </c>
      <c r="Q95" s="108">
        <v>8063.1980000000003</v>
      </c>
      <c r="R95" s="108">
        <v>10153.236000000001</v>
      </c>
      <c r="S95" s="108">
        <v>15959.941000000001</v>
      </c>
      <c r="T95" s="108">
        <v>19114.812000000002</v>
      </c>
      <c r="U95" s="108">
        <v>22300.213</v>
      </c>
      <c r="V95" s="108">
        <v>26212.075000000001</v>
      </c>
      <c r="W95" s="108">
        <v>32093.282999999999</v>
      </c>
      <c r="X95" s="108">
        <v>40639.459000000003</v>
      </c>
      <c r="Y95" s="108">
        <v>47182.540999999997</v>
      </c>
      <c r="Z95" s="108">
        <v>50888.894</v>
      </c>
      <c r="AA95" s="108">
        <v>53802.332999999999</v>
      </c>
      <c r="AB95" s="108">
        <v>55046.722999999998</v>
      </c>
      <c r="AC95" s="108">
        <v>55648.241000000002</v>
      </c>
      <c r="AD95" s="108">
        <v>55095.991999999998</v>
      </c>
      <c r="AE95" s="108">
        <v>54990.457000000002</v>
      </c>
      <c r="AF95" s="108">
        <v>55765.803999999996</v>
      </c>
      <c r="AG95" s="107">
        <v>54891.94</v>
      </c>
      <c r="AH95" s="108">
        <v>54389.245000000003</v>
      </c>
      <c r="AI95" s="108">
        <v>51783.027999999998</v>
      </c>
      <c r="AJ95" s="108">
        <v>51580.817999999999</v>
      </c>
    </row>
    <row r="96" spans="1:36" x14ac:dyDescent="0.25">
      <c r="A96" s="104" t="s">
        <v>189</v>
      </c>
      <c r="B96" s="106">
        <v>2911</v>
      </c>
      <c r="C96" s="106">
        <v>3359</v>
      </c>
      <c r="D96" s="106">
        <v>3857</v>
      </c>
      <c r="E96" s="106">
        <v>3934</v>
      </c>
      <c r="F96" s="106">
        <v>4733</v>
      </c>
      <c r="G96" s="106">
        <v>5012</v>
      </c>
      <c r="H96" s="106">
        <v>5705</v>
      </c>
      <c r="I96" s="106">
        <v>5932</v>
      </c>
      <c r="J96" s="106">
        <v>6664</v>
      </c>
      <c r="K96" s="106">
        <v>4864</v>
      </c>
      <c r="L96" s="106">
        <v>5205</v>
      </c>
      <c r="M96" s="106">
        <v>7165</v>
      </c>
      <c r="N96" s="106">
        <v>6459</v>
      </c>
      <c r="O96" s="106">
        <v>1070</v>
      </c>
      <c r="P96" s="106">
        <v>1252</v>
      </c>
      <c r="Q96" s="105">
        <v>839.13900000000001</v>
      </c>
      <c r="R96" s="105">
        <v>840.10699999999997</v>
      </c>
      <c r="S96" s="105">
        <v>1231.2439999999999</v>
      </c>
      <c r="T96" s="105">
        <v>1389.126</v>
      </c>
      <c r="U96" s="105">
        <v>2466.7350000000001</v>
      </c>
      <c r="V96" s="105">
        <v>2795.1979999999999</v>
      </c>
      <c r="W96" s="105">
        <v>2953.1370000000002</v>
      </c>
      <c r="X96" s="105">
        <v>2949.415</v>
      </c>
      <c r="Y96" s="105">
        <v>2343.797</v>
      </c>
      <c r="Z96" s="105">
        <v>2511.0369999999998</v>
      </c>
      <c r="AA96" s="105">
        <v>2718.5909999999999</v>
      </c>
      <c r="AB96" s="106">
        <v>2973.06</v>
      </c>
      <c r="AC96" s="106">
        <v>2691.22</v>
      </c>
      <c r="AD96" s="105">
        <v>2839.346</v>
      </c>
      <c r="AE96" s="105">
        <v>2940.1979999999999</v>
      </c>
      <c r="AF96" s="105">
        <v>2638.8679999999999</v>
      </c>
      <c r="AG96" s="105">
        <v>2511.2159999999999</v>
      </c>
      <c r="AH96" s="105">
        <v>2467.3240000000001</v>
      </c>
      <c r="AI96" s="105">
        <v>2416.123</v>
      </c>
      <c r="AJ96" s="105">
        <v>2287.6779999999999</v>
      </c>
    </row>
    <row r="97" spans="1:36" x14ac:dyDescent="0.25">
      <c r="A97" s="104" t="s">
        <v>190</v>
      </c>
      <c r="B97" s="108">
        <v>2357.4070000000002</v>
      </c>
      <c r="C97" s="107">
        <v>2561.25</v>
      </c>
      <c r="D97" s="108">
        <v>2687.7809999999999</v>
      </c>
      <c r="E97" s="108">
        <v>2816.9989999999998</v>
      </c>
      <c r="F97" s="108">
        <v>3026.1610000000001</v>
      </c>
      <c r="G97" s="108">
        <v>3343.7730000000001</v>
      </c>
      <c r="H97" s="108">
        <v>3880.9430000000002</v>
      </c>
      <c r="I97" s="108">
        <v>4309.4080000000004</v>
      </c>
      <c r="J97" s="108">
        <v>4820.201</v>
      </c>
      <c r="K97" s="107">
        <v>5551.07</v>
      </c>
      <c r="L97" s="108">
        <v>6491.5119999999997</v>
      </c>
      <c r="M97" s="108">
        <v>7133.7049999999999</v>
      </c>
      <c r="N97" s="108">
        <v>7373.3890000000001</v>
      </c>
      <c r="O97" s="108">
        <v>8268.6319999999996</v>
      </c>
      <c r="P97" s="108">
        <v>8995.7270000000008</v>
      </c>
      <c r="Q97" s="108">
        <v>10597.204</v>
      </c>
      <c r="R97" s="108">
        <v>11649.368</v>
      </c>
      <c r="S97" s="108">
        <v>13306.383</v>
      </c>
      <c r="T97" s="108">
        <v>13913.492</v>
      </c>
      <c r="U97" s="108">
        <v>13736.066000000001</v>
      </c>
      <c r="V97" s="108">
        <v>15503.571</v>
      </c>
      <c r="W97" s="108">
        <v>16464.925999999999</v>
      </c>
      <c r="X97" s="108">
        <v>16671.742999999999</v>
      </c>
      <c r="Y97" s="107">
        <v>17175.490000000002</v>
      </c>
      <c r="Z97" s="108">
        <v>17850.348000000002</v>
      </c>
      <c r="AA97" s="108">
        <v>18005.888999999999</v>
      </c>
      <c r="AB97" s="108">
        <v>18397.087</v>
      </c>
      <c r="AC97" s="108">
        <v>18734.314999999999</v>
      </c>
      <c r="AD97" s="108">
        <v>19328.522000000001</v>
      </c>
      <c r="AE97" s="107">
        <v>19002.93</v>
      </c>
      <c r="AF97" s="107">
        <v>18866.169999999998</v>
      </c>
      <c r="AG97" s="108">
        <v>19561.848000000002</v>
      </c>
      <c r="AH97" s="108">
        <v>19377.806</v>
      </c>
      <c r="AI97" s="108">
        <v>18592.831999999999</v>
      </c>
      <c r="AJ97" s="108">
        <v>19518.772000000001</v>
      </c>
    </row>
    <row r="98" spans="1:36" x14ac:dyDescent="0.25">
      <c r="A98" s="104" t="s">
        <v>191</v>
      </c>
      <c r="B98" s="105">
        <v>2297.5929999999998</v>
      </c>
      <c r="C98" s="106">
        <v>2478.75</v>
      </c>
      <c r="D98" s="105">
        <v>2613.2190000000001</v>
      </c>
      <c r="E98" s="105">
        <v>2738.1280000000002</v>
      </c>
      <c r="F98" s="105">
        <v>2987.8719999999998</v>
      </c>
      <c r="G98" s="105">
        <v>3321.6320000000001</v>
      </c>
      <c r="H98" s="105">
        <v>3852.498</v>
      </c>
      <c r="I98" s="105">
        <v>4265.3519999999999</v>
      </c>
      <c r="J98" s="105">
        <v>4800.8410000000003</v>
      </c>
      <c r="K98" s="105">
        <v>5547.0519999999997</v>
      </c>
      <c r="L98" s="105">
        <v>6403.7020000000002</v>
      </c>
      <c r="M98" s="105">
        <v>7137.6620000000003</v>
      </c>
      <c r="N98" s="105">
        <v>7391.5410000000002</v>
      </c>
      <c r="O98" s="105">
        <v>8343.9349999999995</v>
      </c>
      <c r="P98" s="105">
        <v>9137.0239999999994</v>
      </c>
      <c r="Q98" s="105">
        <v>10993.276</v>
      </c>
      <c r="R98" s="105">
        <v>12296.487999999999</v>
      </c>
      <c r="S98" s="105">
        <v>13022.005999999999</v>
      </c>
      <c r="T98" s="106">
        <v>13582.08</v>
      </c>
      <c r="U98" s="105">
        <v>13499.903</v>
      </c>
      <c r="V98" s="105">
        <v>14646.411</v>
      </c>
      <c r="W98" s="106">
        <v>15441.58</v>
      </c>
      <c r="X98" s="105">
        <v>15326.614</v>
      </c>
      <c r="Y98" s="105">
        <v>15970.906999999999</v>
      </c>
      <c r="Z98" s="105">
        <v>16813.195</v>
      </c>
      <c r="AA98" s="105">
        <v>16817.385999999999</v>
      </c>
      <c r="AB98" s="105">
        <v>17853.116000000002</v>
      </c>
      <c r="AC98" s="105">
        <v>18222.994999999999</v>
      </c>
      <c r="AD98" s="105">
        <v>18844.984</v>
      </c>
      <c r="AE98" s="105">
        <v>18591.832999999999</v>
      </c>
      <c r="AF98" s="105">
        <v>18339.987000000001</v>
      </c>
      <c r="AG98" s="105">
        <v>18775.844000000001</v>
      </c>
      <c r="AH98" s="105">
        <v>18580.909</v>
      </c>
      <c r="AI98" s="105">
        <v>17819.195</v>
      </c>
      <c r="AJ98" s="105">
        <v>18465.331999999999</v>
      </c>
    </row>
    <row r="99" spans="1:36" ht="11.5" customHeight="1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 ht="14.5" x14ac:dyDescent="0.35">
      <c r="A100" s="101" t="s">
        <v>69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36" ht="13" x14ac:dyDescent="0.25">
      <c r="A101" s="3" t="s">
        <v>255</v>
      </c>
      <c r="B101" s="2" t="s">
        <v>70</v>
      </c>
    </row>
    <row r="106" spans="1:36" x14ac:dyDescent="0.25">
      <c r="A106" s="15" t="s">
        <v>260</v>
      </c>
    </row>
    <row r="107" spans="1:36" x14ac:dyDescent="0.25">
      <c r="A107" s="16" t="s">
        <v>222</v>
      </c>
    </row>
    <row r="110" spans="1:36" ht="14.5" x14ac:dyDescent="0.35">
      <c r="A110" s="100" t="s">
        <v>294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:36" ht="14.5" x14ac:dyDescent="0.35">
      <c r="A111" s="100" t="s">
        <v>1</v>
      </c>
      <c r="B111" s="101" t="s">
        <v>295</v>
      </c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36" ht="14.5" x14ac:dyDescent="0.35">
      <c r="A112" s="100" t="s">
        <v>2</v>
      </c>
      <c r="B112" s="100" t="s">
        <v>284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 ht="14.5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 ht="14.5" x14ac:dyDescent="0.35">
      <c r="A114" s="101" t="s">
        <v>3</v>
      </c>
      <c r="B114"/>
      <c r="C114" s="100" t="s">
        <v>4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 ht="14.5" x14ac:dyDescent="0.35">
      <c r="A115" s="101" t="s">
        <v>203</v>
      </c>
      <c r="B115"/>
      <c r="C115" s="100" t="s">
        <v>176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 ht="14.5" x14ac:dyDescent="0.35">
      <c r="A116" s="101" t="s">
        <v>5</v>
      </c>
      <c r="B116"/>
      <c r="C116" s="100" t="s">
        <v>157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 ht="14.5" x14ac:dyDescent="0.35">
      <c r="A117" s="101" t="s">
        <v>7</v>
      </c>
      <c r="B117"/>
      <c r="C117" s="100" t="s">
        <v>8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 ht="14.5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 x14ac:dyDescent="0.25">
      <c r="A119" s="111" t="s">
        <v>9</v>
      </c>
      <c r="B119" s="102" t="s">
        <v>10</v>
      </c>
      <c r="C119" s="102" t="s">
        <v>11</v>
      </c>
      <c r="D119" s="102" t="s">
        <v>12</v>
      </c>
      <c r="E119" s="102" t="s">
        <v>13</v>
      </c>
      <c r="F119" s="102" t="s">
        <v>14</v>
      </c>
      <c r="G119" s="102" t="s">
        <v>15</v>
      </c>
      <c r="H119" s="102" t="s">
        <v>16</v>
      </c>
      <c r="I119" s="102" t="s">
        <v>17</v>
      </c>
      <c r="J119" s="102" t="s">
        <v>18</v>
      </c>
      <c r="K119" s="102" t="s">
        <v>19</v>
      </c>
      <c r="L119" s="102" t="s">
        <v>20</v>
      </c>
      <c r="M119" s="102" t="s">
        <v>21</v>
      </c>
      <c r="N119" s="102" t="s">
        <v>22</v>
      </c>
      <c r="O119" s="102" t="s">
        <v>23</v>
      </c>
      <c r="P119" s="102" t="s">
        <v>24</v>
      </c>
      <c r="Q119" s="102" t="s">
        <v>25</v>
      </c>
      <c r="R119" s="102" t="s">
        <v>26</v>
      </c>
      <c r="S119" s="102" t="s">
        <v>27</v>
      </c>
      <c r="T119" s="102" t="s">
        <v>28</v>
      </c>
      <c r="U119" s="102" t="s">
        <v>29</v>
      </c>
      <c r="V119" s="102" t="s">
        <v>30</v>
      </c>
      <c r="W119" s="102" t="s">
        <v>31</v>
      </c>
      <c r="X119" s="102" t="s">
        <v>32</v>
      </c>
      <c r="Y119" s="102" t="s">
        <v>33</v>
      </c>
      <c r="Z119" s="102" t="s">
        <v>34</v>
      </c>
      <c r="AA119" s="102" t="s">
        <v>35</v>
      </c>
      <c r="AB119" s="102" t="s">
        <v>36</v>
      </c>
      <c r="AC119" s="102" t="s">
        <v>37</v>
      </c>
      <c r="AD119" s="102" t="s">
        <v>38</v>
      </c>
      <c r="AE119" s="102" t="s">
        <v>39</v>
      </c>
      <c r="AF119" s="102" t="s">
        <v>40</v>
      </c>
      <c r="AG119" s="102" t="s">
        <v>41</v>
      </c>
      <c r="AH119" s="102" t="s">
        <v>42</v>
      </c>
      <c r="AI119" s="102" t="s">
        <v>254</v>
      </c>
      <c r="AJ119" s="102" t="s">
        <v>285</v>
      </c>
    </row>
    <row r="120" spans="1:36" ht="14.5" x14ac:dyDescent="0.35">
      <c r="A120" s="103" t="s">
        <v>44</v>
      </c>
      <c r="B120" s="88" t="s">
        <v>45</v>
      </c>
      <c r="C120" s="88" t="s">
        <v>45</v>
      </c>
      <c r="D120" s="88" t="s">
        <v>45</v>
      </c>
      <c r="E120" s="88" t="s">
        <v>45</v>
      </c>
      <c r="F120" s="88" t="s">
        <v>45</v>
      </c>
      <c r="G120" s="88" t="s">
        <v>45</v>
      </c>
      <c r="H120" s="88" t="s">
        <v>45</v>
      </c>
      <c r="I120" s="88" t="s">
        <v>45</v>
      </c>
      <c r="J120" s="88" t="s">
        <v>45</v>
      </c>
      <c r="K120" s="88" t="s">
        <v>45</v>
      </c>
      <c r="L120" s="88" t="s">
        <v>45</v>
      </c>
      <c r="M120" s="88" t="s">
        <v>45</v>
      </c>
      <c r="N120" s="88" t="s">
        <v>45</v>
      </c>
      <c r="O120" s="88" t="s">
        <v>45</v>
      </c>
      <c r="P120" s="88" t="s">
        <v>45</v>
      </c>
      <c r="Q120" s="88" t="s">
        <v>45</v>
      </c>
      <c r="R120" s="88" t="s">
        <v>45</v>
      </c>
      <c r="S120" s="88" t="s">
        <v>45</v>
      </c>
      <c r="T120" s="88" t="s">
        <v>45</v>
      </c>
      <c r="U120" s="88" t="s">
        <v>45</v>
      </c>
      <c r="V120" s="88" t="s">
        <v>45</v>
      </c>
      <c r="W120" s="88" t="s">
        <v>45</v>
      </c>
      <c r="X120" s="88" t="s">
        <v>45</v>
      </c>
      <c r="Y120" s="88" t="s">
        <v>45</v>
      </c>
      <c r="Z120" s="88" t="s">
        <v>45</v>
      </c>
      <c r="AA120" s="88" t="s">
        <v>45</v>
      </c>
      <c r="AB120" s="88" t="s">
        <v>45</v>
      </c>
      <c r="AC120" s="88" t="s">
        <v>45</v>
      </c>
      <c r="AD120" s="88" t="s">
        <v>45</v>
      </c>
      <c r="AE120" s="88" t="s">
        <v>45</v>
      </c>
      <c r="AF120" s="88" t="s">
        <v>45</v>
      </c>
      <c r="AG120" s="88" t="s">
        <v>45</v>
      </c>
      <c r="AH120" s="88" t="s">
        <v>45</v>
      </c>
      <c r="AI120" s="88" t="s">
        <v>45</v>
      </c>
      <c r="AJ120" s="88" t="s">
        <v>45</v>
      </c>
    </row>
    <row r="121" spans="1:36" x14ac:dyDescent="0.25">
      <c r="A121" s="104" t="s">
        <v>49</v>
      </c>
      <c r="B121" s="107">
        <v>218484</v>
      </c>
      <c r="C121" s="107">
        <v>178925</v>
      </c>
      <c r="D121" s="107">
        <v>175263</v>
      </c>
      <c r="E121" s="107">
        <v>175606</v>
      </c>
      <c r="F121" s="107">
        <v>169048</v>
      </c>
      <c r="G121" s="107">
        <v>181335</v>
      </c>
      <c r="H121" s="107">
        <v>193531</v>
      </c>
      <c r="I121" s="107">
        <v>194520</v>
      </c>
      <c r="J121" s="107">
        <v>187928</v>
      </c>
      <c r="K121" s="107">
        <v>214365</v>
      </c>
      <c r="L121" s="108">
        <v>251792.378</v>
      </c>
      <c r="M121" s="107">
        <v>252175.25</v>
      </c>
      <c r="N121" s="108">
        <v>279688.64299999998</v>
      </c>
      <c r="O121" s="108">
        <v>289918.17599999998</v>
      </c>
      <c r="P121" s="107">
        <v>277200.31</v>
      </c>
      <c r="Q121" s="108">
        <v>323963.44799999997</v>
      </c>
      <c r="R121" s="108">
        <v>308853.272</v>
      </c>
      <c r="S121" s="108">
        <v>316962.07199999999</v>
      </c>
      <c r="T121" s="108">
        <v>305128.21799999999</v>
      </c>
      <c r="U121" s="108">
        <v>292276.75300000003</v>
      </c>
      <c r="V121" s="108">
        <v>291540.09399999998</v>
      </c>
      <c r="W121" s="108">
        <v>321114.67300000001</v>
      </c>
      <c r="X121" s="108">
        <v>349454.141</v>
      </c>
      <c r="Y121" s="108">
        <v>332062.25799999997</v>
      </c>
      <c r="Z121" s="108">
        <v>363686.91399999999</v>
      </c>
      <c r="AA121" s="108">
        <v>387638.64899999998</v>
      </c>
      <c r="AB121" s="108">
        <v>362524.58799999999</v>
      </c>
      <c r="AC121" s="108">
        <v>366554.32900000003</v>
      </c>
      <c r="AD121" s="108">
        <v>372348.27500000002</v>
      </c>
      <c r="AE121" s="108">
        <v>369432.44799999997</v>
      </c>
      <c r="AF121" s="107">
        <v>381008.85</v>
      </c>
      <c r="AG121" s="108">
        <v>401425.821</v>
      </c>
      <c r="AH121" s="108">
        <v>421942.81099999999</v>
      </c>
      <c r="AI121" s="108">
        <v>406835.68400000001</v>
      </c>
      <c r="AJ121" s="108">
        <v>437277.304</v>
      </c>
    </row>
    <row r="122" spans="1:36" x14ac:dyDescent="0.25">
      <c r="A122" s="104" t="s">
        <v>50</v>
      </c>
      <c r="B122" s="106">
        <v>184752.2</v>
      </c>
      <c r="C122" s="106">
        <v>175503.1</v>
      </c>
      <c r="D122" s="106">
        <v>169892</v>
      </c>
      <c r="E122" s="106">
        <v>170212</v>
      </c>
      <c r="F122" s="106">
        <v>166173</v>
      </c>
      <c r="G122" s="106">
        <v>177027</v>
      </c>
      <c r="H122" s="106">
        <v>211601</v>
      </c>
      <c r="I122" s="106">
        <v>204799</v>
      </c>
      <c r="J122" s="106">
        <v>199520</v>
      </c>
      <c r="K122" s="106">
        <v>215326</v>
      </c>
      <c r="L122" s="105">
        <v>242944.85399999999</v>
      </c>
      <c r="M122" s="105">
        <v>255540.78599999999</v>
      </c>
      <c r="N122" s="105">
        <v>272579.92099999997</v>
      </c>
      <c r="O122" s="105">
        <v>291982.40700000001</v>
      </c>
      <c r="P122" s="105">
        <v>289018.58199999999</v>
      </c>
      <c r="Q122" s="105">
        <v>316608.57900000003</v>
      </c>
      <c r="R122" s="105">
        <v>308399.98200000002</v>
      </c>
      <c r="S122" s="106">
        <v>306358.59000000003</v>
      </c>
      <c r="T122" s="105">
        <v>293074.924</v>
      </c>
      <c r="U122" s="105">
        <v>274993.82500000001</v>
      </c>
      <c r="V122" s="105">
        <v>286640.70400000003</v>
      </c>
      <c r="W122" s="105">
        <v>320148.26500000001</v>
      </c>
      <c r="X122" s="105">
        <v>342668.522</v>
      </c>
      <c r="Y122" s="105">
        <v>333882.60399999999</v>
      </c>
      <c r="Z122" s="105">
        <v>368710.348</v>
      </c>
      <c r="AA122" s="105">
        <v>394313.755</v>
      </c>
      <c r="AB122" s="106">
        <v>361878.21</v>
      </c>
      <c r="AC122" s="105">
        <v>371130.01899999997</v>
      </c>
      <c r="AD122" s="105">
        <v>363497.75400000002</v>
      </c>
      <c r="AE122" s="105">
        <v>366487.72499999998</v>
      </c>
      <c r="AF122" s="105">
        <v>367046.55300000001</v>
      </c>
      <c r="AG122" s="105">
        <v>394108.40100000001</v>
      </c>
      <c r="AH122" s="105">
        <v>408980.89199999999</v>
      </c>
      <c r="AI122" s="105">
        <v>407281.11099999998</v>
      </c>
      <c r="AJ122" s="105">
        <v>449477.57199999999</v>
      </c>
    </row>
    <row r="123" spans="1:36" x14ac:dyDescent="0.25">
      <c r="A123" s="104" t="s">
        <v>204</v>
      </c>
      <c r="B123" s="108">
        <v>2139174.6430000002</v>
      </c>
      <c r="C123" s="108">
        <v>2149609.568</v>
      </c>
      <c r="D123" s="108">
        <v>2132149.8330000001</v>
      </c>
      <c r="E123" s="108">
        <v>2137696.0129999998</v>
      </c>
      <c r="F123" s="108">
        <v>2174019.534</v>
      </c>
      <c r="G123" s="108">
        <v>2237309.6469999999</v>
      </c>
      <c r="H123" s="108">
        <v>2296293.923</v>
      </c>
      <c r="I123" s="108">
        <v>2318327.2250000001</v>
      </c>
      <c r="J123" s="108">
        <v>2367825.392</v>
      </c>
      <c r="K123" s="108">
        <v>2400048.1329999999</v>
      </c>
      <c r="L123" s="108">
        <v>2477017.7110000001</v>
      </c>
      <c r="M123" s="108">
        <v>2541070.747</v>
      </c>
      <c r="N123" s="108">
        <v>2564166.875</v>
      </c>
      <c r="O123" s="108">
        <v>2635201.6889999998</v>
      </c>
      <c r="P123" s="108">
        <v>2695261.4419999998</v>
      </c>
      <c r="Q123" s="108">
        <v>2730726.6910000001</v>
      </c>
      <c r="R123" s="108">
        <v>2769838.5460000001</v>
      </c>
      <c r="S123" s="108">
        <v>2795527.679</v>
      </c>
      <c r="T123" s="108">
        <v>2813660.8229999999</v>
      </c>
      <c r="U123" s="108">
        <v>2672454.8930000002</v>
      </c>
      <c r="V123" s="108">
        <v>2794021.7949999999</v>
      </c>
      <c r="W123" s="108">
        <v>2753338.1949999998</v>
      </c>
      <c r="X123" s="107">
        <v>2753233.8</v>
      </c>
      <c r="Y123" s="108">
        <v>2730944.389</v>
      </c>
      <c r="Z123" s="108">
        <v>2670206.412</v>
      </c>
      <c r="AA123" s="108">
        <v>2714372.713</v>
      </c>
      <c r="AB123" s="108">
        <v>2745470.4709999999</v>
      </c>
      <c r="AC123" s="108">
        <v>2769385.577</v>
      </c>
      <c r="AD123" s="108">
        <v>2772697.1469999999</v>
      </c>
      <c r="AE123" s="108">
        <v>2741499.1809999999</v>
      </c>
      <c r="AF123" s="108">
        <v>2639486.264</v>
      </c>
      <c r="AG123" s="108">
        <v>2755133.0959999999</v>
      </c>
      <c r="AH123" s="108">
        <v>2663892.9169999999</v>
      </c>
      <c r="AI123" s="107">
        <v>2585823.12</v>
      </c>
      <c r="AJ123" s="108">
        <v>2635122.7919999999</v>
      </c>
    </row>
    <row r="124" spans="1:36" x14ac:dyDescent="0.25">
      <c r="A124" s="104" t="s">
        <v>214</v>
      </c>
      <c r="B124" s="106">
        <v>0</v>
      </c>
      <c r="C124" s="106">
        <v>0</v>
      </c>
      <c r="D124" s="106">
        <v>2261</v>
      </c>
      <c r="E124" s="106">
        <v>2386</v>
      </c>
      <c r="F124" s="106">
        <v>2297</v>
      </c>
      <c r="G124" s="106">
        <v>2300</v>
      </c>
      <c r="H124" s="106">
        <v>2278</v>
      </c>
      <c r="I124" s="106">
        <v>2292</v>
      </c>
      <c r="J124" s="106">
        <v>2334</v>
      </c>
      <c r="K124" s="106">
        <v>2277</v>
      </c>
      <c r="L124" s="106">
        <v>2229</v>
      </c>
      <c r="M124" s="106">
        <v>2219</v>
      </c>
      <c r="N124" s="106">
        <v>2141</v>
      </c>
      <c r="O124" s="106">
        <v>2031</v>
      </c>
      <c r="P124" s="106">
        <v>1925</v>
      </c>
      <c r="Q124" s="106">
        <v>1868</v>
      </c>
      <c r="R124" s="106">
        <v>1655</v>
      </c>
      <c r="S124" s="106">
        <v>1695.99</v>
      </c>
      <c r="T124" s="105">
        <v>1671.346</v>
      </c>
      <c r="U124" s="105">
        <v>1521.6959999999999</v>
      </c>
      <c r="V124" s="105">
        <v>1622.7850000000001</v>
      </c>
      <c r="W124" s="105">
        <v>1366.5239999999999</v>
      </c>
      <c r="X124" s="105">
        <v>1762.434</v>
      </c>
      <c r="Y124" s="105">
        <v>1373.6859999999999</v>
      </c>
      <c r="Z124" s="105">
        <v>1783.2159999999999</v>
      </c>
      <c r="AA124" s="105">
        <v>1599.1320000000001</v>
      </c>
      <c r="AB124" s="105">
        <v>1550.9179999999999</v>
      </c>
      <c r="AC124" s="105">
        <v>1730.1020000000001</v>
      </c>
      <c r="AD124" s="105">
        <v>1589.1289999999999</v>
      </c>
      <c r="AE124" s="105">
        <v>1578.748</v>
      </c>
      <c r="AF124" s="105">
        <v>1821.3019999999999</v>
      </c>
      <c r="AG124" s="105">
        <v>2051.0639999999999</v>
      </c>
      <c r="AH124" s="105">
        <v>1949.6130000000001</v>
      </c>
      <c r="AI124" s="105">
        <v>2582.7379999999998</v>
      </c>
      <c r="AJ124" s="105">
        <v>2053.4459999999999</v>
      </c>
    </row>
    <row r="125" spans="1:36" x14ac:dyDescent="0.25">
      <c r="A125" s="104" t="s">
        <v>215</v>
      </c>
      <c r="B125" s="107">
        <v>43</v>
      </c>
      <c r="C125" s="107">
        <v>16</v>
      </c>
      <c r="D125" s="107">
        <v>5803</v>
      </c>
      <c r="E125" s="107">
        <v>5055</v>
      </c>
      <c r="F125" s="107">
        <v>2779</v>
      </c>
      <c r="G125" s="107">
        <v>3438</v>
      </c>
      <c r="H125" s="107">
        <v>1851</v>
      </c>
      <c r="I125" s="107">
        <v>2323</v>
      </c>
      <c r="J125" s="107">
        <v>1872</v>
      </c>
      <c r="K125" s="107">
        <v>1615</v>
      </c>
      <c r="L125" s="107">
        <v>2167</v>
      </c>
      <c r="M125" s="107">
        <v>1795</v>
      </c>
      <c r="N125" s="107">
        <v>1388</v>
      </c>
      <c r="O125" s="107">
        <v>565</v>
      </c>
      <c r="P125" s="107">
        <v>459</v>
      </c>
      <c r="Q125" s="107">
        <v>362</v>
      </c>
      <c r="R125" s="107">
        <v>304</v>
      </c>
      <c r="S125" s="107">
        <v>303</v>
      </c>
      <c r="T125" s="107">
        <v>215</v>
      </c>
      <c r="U125" s="108">
        <v>270.46100000000001</v>
      </c>
      <c r="V125" s="108">
        <v>243.48599999999999</v>
      </c>
      <c r="W125" s="108">
        <v>235.93100000000001</v>
      </c>
      <c r="X125" s="107">
        <v>484.02</v>
      </c>
      <c r="Y125" s="108">
        <v>474.774</v>
      </c>
      <c r="Z125" s="108">
        <v>415.685</v>
      </c>
      <c r="AA125" s="108">
        <v>628.68700000000001</v>
      </c>
      <c r="AB125" s="108">
        <v>542.327</v>
      </c>
      <c r="AC125" s="108">
        <v>611.26099999999997</v>
      </c>
      <c r="AD125" s="108">
        <v>560.17899999999997</v>
      </c>
      <c r="AE125" s="108">
        <v>687.33500000000004</v>
      </c>
      <c r="AF125" s="108">
        <v>1220.556</v>
      </c>
      <c r="AG125" s="108">
        <v>1316.0170000000001</v>
      </c>
      <c r="AH125" s="108">
        <v>1444.931</v>
      </c>
      <c r="AI125" s="108">
        <v>3399.5839999999998</v>
      </c>
      <c r="AJ125" s="107">
        <v>4999.42</v>
      </c>
    </row>
    <row r="126" spans="1:36" x14ac:dyDescent="0.25">
      <c r="A126" s="104" t="s">
        <v>216</v>
      </c>
      <c r="B126" s="105">
        <v>19155.633000000002</v>
      </c>
      <c r="C126" s="105">
        <v>18944.523000000001</v>
      </c>
      <c r="D126" s="105">
        <v>20461.429</v>
      </c>
      <c r="E126" s="105">
        <v>19337.295999999998</v>
      </c>
      <c r="F126" s="105">
        <v>19451.956999999999</v>
      </c>
      <c r="G126" s="105">
        <v>21955.294999999998</v>
      </c>
      <c r="H126" s="105">
        <v>22726.155999999999</v>
      </c>
      <c r="I126" s="105">
        <v>22859.648000000001</v>
      </c>
      <c r="J126" s="105">
        <v>24850.374</v>
      </c>
      <c r="K126" s="105">
        <v>26428.580999999998</v>
      </c>
      <c r="L126" s="105">
        <v>25584.168000000001</v>
      </c>
      <c r="M126" s="105">
        <v>25111.649000000001</v>
      </c>
      <c r="N126" s="105">
        <v>27100.405999999999</v>
      </c>
      <c r="O126" s="106">
        <v>27119.759999999998</v>
      </c>
      <c r="P126" s="105">
        <v>28415.544999999998</v>
      </c>
      <c r="Q126" s="105">
        <v>28943.755000000001</v>
      </c>
      <c r="R126" s="105">
        <v>26950.231</v>
      </c>
      <c r="S126" s="105">
        <v>25915.598999999998</v>
      </c>
      <c r="T126" s="105">
        <v>24559.326000000001</v>
      </c>
      <c r="U126" s="105">
        <v>24080.385999999999</v>
      </c>
      <c r="V126" s="105">
        <v>25659.933000000001</v>
      </c>
      <c r="W126" s="105">
        <v>23001.437000000002</v>
      </c>
      <c r="X126" s="105">
        <v>24519.031999999999</v>
      </c>
      <c r="Y126" s="105">
        <v>25475.466</v>
      </c>
      <c r="Z126" s="105">
        <v>25122.241000000002</v>
      </c>
      <c r="AA126" s="106">
        <v>24477.7</v>
      </c>
      <c r="AB126" s="105">
        <v>24233.260999999999</v>
      </c>
      <c r="AC126" s="105">
        <v>24409.019</v>
      </c>
      <c r="AD126" s="105">
        <v>22150.562999999998</v>
      </c>
      <c r="AE126" s="105">
        <v>21597.645</v>
      </c>
      <c r="AF126" s="106">
        <v>24195.83</v>
      </c>
      <c r="AG126" s="105">
        <v>22919.438999999998</v>
      </c>
      <c r="AH126" s="105">
        <v>25869.677</v>
      </c>
      <c r="AI126" s="105">
        <v>25575.451000000001</v>
      </c>
      <c r="AJ126" s="105">
        <v>26067.201000000001</v>
      </c>
    </row>
    <row r="127" spans="1:36" x14ac:dyDescent="0.25">
      <c r="A127" s="104" t="s">
        <v>217</v>
      </c>
      <c r="B127" s="107">
        <v>7759.7</v>
      </c>
      <c r="C127" s="107">
        <v>8096.3</v>
      </c>
      <c r="D127" s="107">
        <v>9062</v>
      </c>
      <c r="E127" s="107">
        <v>7296</v>
      </c>
      <c r="F127" s="107">
        <v>5944</v>
      </c>
      <c r="G127" s="107">
        <v>7376</v>
      </c>
      <c r="H127" s="107">
        <v>8516</v>
      </c>
      <c r="I127" s="107">
        <v>7785</v>
      </c>
      <c r="J127" s="107">
        <v>8374</v>
      </c>
      <c r="K127" s="107">
        <v>10274</v>
      </c>
      <c r="L127" s="107">
        <v>14474</v>
      </c>
      <c r="M127" s="107">
        <v>13959</v>
      </c>
      <c r="N127" s="107">
        <v>18439</v>
      </c>
      <c r="O127" s="107">
        <v>17398</v>
      </c>
      <c r="P127" s="107">
        <v>17285</v>
      </c>
      <c r="Q127" s="108">
        <v>17516.917000000001</v>
      </c>
      <c r="R127" s="108">
        <v>17956.832999999999</v>
      </c>
      <c r="S127" s="108">
        <v>16834.800999999999</v>
      </c>
      <c r="T127" s="108">
        <v>15521.815000000001</v>
      </c>
      <c r="U127" s="108">
        <v>15294.236999999999</v>
      </c>
      <c r="V127" s="108">
        <v>14898.328</v>
      </c>
      <c r="W127" s="108">
        <v>11809.036</v>
      </c>
      <c r="X127" s="108">
        <v>13776.882</v>
      </c>
      <c r="Y127" s="107">
        <v>14192.39</v>
      </c>
      <c r="Z127" s="108">
        <v>14318.379000000001</v>
      </c>
      <c r="AA127" s="108">
        <v>13231.956</v>
      </c>
      <c r="AB127" s="108">
        <v>12979.739</v>
      </c>
      <c r="AC127" s="108">
        <v>14280.592000000001</v>
      </c>
      <c r="AD127" s="108">
        <v>14075.396000000001</v>
      </c>
      <c r="AE127" s="108">
        <v>13406.766</v>
      </c>
      <c r="AF127" s="108">
        <v>14552.349</v>
      </c>
      <c r="AG127" s="108">
        <v>14526.089</v>
      </c>
      <c r="AH127" s="108">
        <v>17513.787</v>
      </c>
      <c r="AI127" s="108">
        <v>17857.485000000001</v>
      </c>
      <c r="AJ127" s="108">
        <v>20187.417000000001</v>
      </c>
    </row>
    <row r="128" spans="1:36" x14ac:dyDescent="0.25">
      <c r="A128" s="104" t="s">
        <v>206</v>
      </c>
      <c r="B128" s="105">
        <v>142880.351</v>
      </c>
      <c r="C128" s="105">
        <v>143637.31400000001</v>
      </c>
      <c r="D128" s="105">
        <v>138726.59299999999</v>
      </c>
      <c r="E128" s="105">
        <v>136894.696</v>
      </c>
      <c r="F128" s="105">
        <v>138831.43900000001</v>
      </c>
      <c r="G128" s="105">
        <v>141496.38800000001</v>
      </c>
      <c r="H128" s="105">
        <v>145330.698</v>
      </c>
      <c r="I128" s="105">
        <v>142568.158</v>
      </c>
      <c r="J128" s="105">
        <v>143226.378</v>
      </c>
      <c r="K128" s="105">
        <v>144962.25399999999</v>
      </c>
      <c r="L128" s="105">
        <v>146056.16899999999</v>
      </c>
      <c r="M128" s="105">
        <v>146847.81400000001</v>
      </c>
      <c r="N128" s="105">
        <v>150904.24799999999</v>
      </c>
      <c r="O128" s="106">
        <v>152953.68</v>
      </c>
      <c r="P128" s="105">
        <v>152868.55600000001</v>
      </c>
      <c r="Q128" s="106">
        <v>154602.41</v>
      </c>
      <c r="R128" s="105">
        <v>157551.497</v>
      </c>
      <c r="S128" s="105">
        <v>158143.76500000001</v>
      </c>
      <c r="T128" s="105">
        <v>155186.21599999999</v>
      </c>
      <c r="U128" s="105">
        <v>150176.03700000001</v>
      </c>
      <c r="V128" s="105">
        <v>152586.41899999999</v>
      </c>
      <c r="W128" s="105">
        <v>153836.576</v>
      </c>
      <c r="X128" s="105">
        <v>152497.72700000001</v>
      </c>
      <c r="Y128" s="105">
        <v>147118.073</v>
      </c>
      <c r="Z128" s="105">
        <v>144929.05499999999</v>
      </c>
      <c r="AA128" s="106">
        <v>146139.12</v>
      </c>
      <c r="AB128" s="105">
        <v>144554.872</v>
      </c>
      <c r="AC128" s="105">
        <v>146533.12599999999</v>
      </c>
      <c r="AD128" s="105">
        <v>141492.08199999999</v>
      </c>
      <c r="AE128" s="105">
        <v>132054.264</v>
      </c>
      <c r="AF128" s="105">
        <v>122992.57399999999</v>
      </c>
      <c r="AG128" s="106">
        <v>127981.87</v>
      </c>
      <c r="AH128" s="105">
        <v>125253.931</v>
      </c>
      <c r="AI128" s="105">
        <v>112591.098</v>
      </c>
      <c r="AJ128" s="105">
        <v>110310.959</v>
      </c>
    </row>
    <row r="129" spans="1:36" x14ac:dyDescent="0.25">
      <c r="A129" s="104" t="s">
        <v>207</v>
      </c>
      <c r="B129" s="107">
        <v>0</v>
      </c>
      <c r="C129" s="107">
        <v>0</v>
      </c>
      <c r="D129" s="107">
        <v>0</v>
      </c>
      <c r="E129" s="107">
        <v>0</v>
      </c>
      <c r="F129" s="107">
        <v>0</v>
      </c>
      <c r="G129" s="107">
        <v>0</v>
      </c>
      <c r="H129" s="107">
        <v>0</v>
      </c>
      <c r="I129" s="107">
        <v>0</v>
      </c>
      <c r="J129" s="107">
        <v>0</v>
      </c>
      <c r="K129" s="107">
        <v>0</v>
      </c>
      <c r="L129" s="107">
        <v>0</v>
      </c>
      <c r="M129" s="107">
        <v>0</v>
      </c>
      <c r="N129" s="107">
        <v>0</v>
      </c>
      <c r="O129" s="107">
        <v>0</v>
      </c>
      <c r="P129" s="107">
        <v>0</v>
      </c>
      <c r="Q129" s="107">
        <v>0</v>
      </c>
      <c r="R129" s="107">
        <v>0</v>
      </c>
      <c r="S129" s="107">
        <v>0</v>
      </c>
      <c r="T129" s="107">
        <v>0</v>
      </c>
      <c r="U129" s="107">
        <v>0</v>
      </c>
      <c r="V129" s="107">
        <v>0</v>
      </c>
      <c r="W129" s="108">
        <v>25919.671999999999</v>
      </c>
      <c r="X129" s="108">
        <v>27312.367999999999</v>
      </c>
      <c r="Y129" s="108">
        <v>27597.214</v>
      </c>
      <c r="Z129" s="108">
        <v>23966.920999999998</v>
      </c>
      <c r="AA129" s="108">
        <v>30053.873</v>
      </c>
      <c r="AB129" s="108">
        <v>30566.874</v>
      </c>
      <c r="AC129" s="107">
        <v>31427.58</v>
      </c>
      <c r="AD129" s="108">
        <v>31587.519</v>
      </c>
      <c r="AE129" s="108">
        <v>32708.287</v>
      </c>
      <c r="AF129" s="108">
        <v>31912.644</v>
      </c>
      <c r="AG129" s="107">
        <v>37077.360000000001</v>
      </c>
      <c r="AH129" s="108">
        <v>125966.33500000001</v>
      </c>
      <c r="AI129" s="108">
        <v>122286.409</v>
      </c>
      <c r="AJ129" s="108">
        <v>176677.133</v>
      </c>
    </row>
    <row r="130" spans="1:36" x14ac:dyDescent="0.25">
      <c r="A130" s="104" t="s">
        <v>208</v>
      </c>
      <c r="B130" s="105">
        <v>1988162.6429999999</v>
      </c>
      <c r="C130" s="105">
        <v>2000808.568</v>
      </c>
      <c r="D130" s="105">
        <v>1984572.8330000001</v>
      </c>
      <c r="E130" s="105">
        <v>1978258.013</v>
      </c>
      <c r="F130" s="105">
        <v>2013994.534</v>
      </c>
      <c r="G130" s="105">
        <v>2063616.6470000001</v>
      </c>
      <c r="H130" s="105">
        <v>2119562.923</v>
      </c>
      <c r="I130" s="105">
        <v>2151978.2250000001</v>
      </c>
      <c r="J130" s="105">
        <v>2191877.392</v>
      </c>
      <c r="K130" s="105">
        <v>2226111.1329999999</v>
      </c>
      <c r="L130" s="105">
        <v>2291094.1710000001</v>
      </c>
      <c r="M130" s="105">
        <v>2353732.2069999999</v>
      </c>
      <c r="N130" s="105">
        <v>2383768.335</v>
      </c>
      <c r="O130" s="105">
        <v>2449917.1490000002</v>
      </c>
      <c r="P130" s="105">
        <v>2507860.162</v>
      </c>
      <c r="Q130" s="105">
        <v>2538782.824</v>
      </c>
      <c r="R130" s="105">
        <v>2583336.625</v>
      </c>
      <c r="S130" s="105">
        <v>2606333.1140000001</v>
      </c>
      <c r="T130" s="105">
        <v>2622873.8250000002</v>
      </c>
      <c r="U130" s="105">
        <v>2491748.497</v>
      </c>
      <c r="V130" s="105">
        <v>2608623.9640000002</v>
      </c>
      <c r="W130" s="105">
        <v>2571194.8849999998</v>
      </c>
      <c r="X130" s="105">
        <v>2570050.048</v>
      </c>
      <c r="Y130" s="105">
        <v>2545937.3050000002</v>
      </c>
      <c r="Z130" s="105">
        <v>2495365.6529999999</v>
      </c>
      <c r="AA130" s="105">
        <v>2534951.281</v>
      </c>
      <c r="AB130" s="105">
        <v>2565440.531</v>
      </c>
      <c r="AC130" s="105">
        <v>2591288.588</v>
      </c>
      <c r="AD130" s="106">
        <v>2589723.96</v>
      </c>
      <c r="AE130" s="105">
        <v>2562558.764</v>
      </c>
      <c r="AF130" s="105">
        <v>2463902.503</v>
      </c>
      <c r="AG130" s="105">
        <v>2571683.7429999998</v>
      </c>
      <c r="AH130" s="105">
        <v>2487571.7760000001</v>
      </c>
      <c r="AI130" s="105">
        <v>2410803.4360000002</v>
      </c>
      <c r="AJ130" s="105">
        <v>2458445.659</v>
      </c>
    </row>
    <row r="131" spans="1:36" x14ac:dyDescent="0.25">
      <c r="A131" s="104" t="s">
        <v>156</v>
      </c>
      <c r="B131" s="108">
        <v>2275281.5269999998</v>
      </c>
      <c r="C131" s="108">
        <v>2316881.8050000002</v>
      </c>
      <c r="D131" s="108">
        <v>2303092.855</v>
      </c>
      <c r="E131" s="108">
        <v>2303271.0049999999</v>
      </c>
      <c r="F131" s="107">
        <v>2340447.9300000002</v>
      </c>
      <c r="G131" s="107">
        <v>2409567.33</v>
      </c>
      <c r="H131" s="108">
        <v>2495065.7769999998</v>
      </c>
      <c r="I131" s="108">
        <v>2506434.031</v>
      </c>
      <c r="J131" s="108">
        <v>2560074.1439999999</v>
      </c>
      <c r="K131" s="108">
        <v>2586565.9679999999</v>
      </c>
      <c r="L131" s="108">
        <v>2658680.5240000002</v>
      </c>
      <c r="M131" s="108">
        <v>2734368.7459999998</v>
      </c>
      <c r="N131" s="108">
        <v>2757030.807</v>
      </c>
      <c r="O131" s="107">
        <v>2837333.36</v>
      </c>
      <c r="P131" s="108">
        <v>2908032.8149999999</v>
      </c>
      <c r="Q131" s="108">
        <v>2926664.9040000001</v>
      </c>
      <c r="R131" s="108">
        <v>2973802.8169999998</v>
      </c>
      <c r="S131" s="108">
        <v>2987817.352</v>
      </c>
      <c r="T131" s="108">
        <v>2998761.2319999998</v>
      </c>
      <c r="U131" s="108">
        <v>2846514.7820000001</v>
      </c>
      <c r="V131" s="108">
        <v>2984133.3560000001</v>
      </c>
      <c r="W131" s="108">
        <v>2942621.2910000002</v>
      </c>
      <c r="X131" s="108">
        <v>2939488.2760000001</v>
      </c>
      <c r="Y131" s="108">
        <v>2921399.1239999998</v>
      </c>
      <c r="Z131" s="108">
        <v>2861798.4219999998</v>
      </c>
      <c r="AA131" s="108">
        <v>2907124.4139999999</v>
      </c>
      <c r="AB131" s="107">
        <v>2928685.21</v>
      </c>
      <c r="AC131" s="108">
        <v>2961525.3670000001</v>
      </c>
      <c r="AD131" s="108">
        <v>2943713.9750000001</v>
      </c>
      <c r="AE131" s="108">
        <v>2907879.216</v>
      </c>
      <c r="AF131" s="108">
        <v>2790313.2080000001</v>
      </c>
      <c r="AG131" s="108">
        <v>2916637.5890000002</v>
      </c>
      <c r="AH131" s="108">
        <v>2823630.628</v>
      </c>
      <c r="AI131" s="108">
        <v>2749566.8879999998</v>
      </c>
      <c r="AJ131" s="108">
        <v>2811390.7930000001</v>
      </c>
    </row>
    <row r="132" spans="1:36" x14ac:dyDescent="0.25">
      <c r="A132" s="104" t="s">
        <v>218</v>
      </c>
      <c r="B132" s="105">
        <v>2132401.176</v>
      </c>
      <c r="C132" s="105">
        <v>2173244.4909999999</v>
      </c>
      <c r="D132" s="105">
        <v>2164366.2620000001</v>
      </c>
      <c r="E132" s="105">
        <v>2166376.3089999999</v>
      </c>
      <c r="F132" s="105">
        <v>2201616.4909999999</v>
      </c>
      <c r="G132" s="105">
        <v>2268070.9419999998</v>
      </c>
      <c r="H132" s="105">
        <v>2349735.0789999999</v>
      </c>
      <c r="I132" s="105">
        <v>2363865.8730000001</v>
      </c>
      <c r="J132" s="105">
        <v>2416847.7659999998</v>
      </c>
      <c r="K132" s="105">
        <v>2441603.7140000002</v>
      </c>
      <c r="L132" s="105">
        <v>2512624.355</v>
      </c>
      <c r="M132" s="105">
        <v>2587520.932</v>
      </c>
      <c r="N132" s="105">
        <v>2606126.5589999999</v>
      </c>
      <c r="O132" s="106">
        <v>2684379.68</v>
      </c>
      <c r="P132" s="105">
        <v>2755164.2590000001</v>
      </c>
      <c r="Q132" s="105">
        <v>2772062.4939999999</v>
      </c>
      <c r="R132" s="106">
        <v>2816251.32</v>
      </c>
      <c r="S132" s="105">
        <v>2829673.5869999998</v>
      </c>
      <c r="T132" s="105">
        <v>2843575.0159999998</v>
      </c>
      <c r="U132" s="105">
        <v>2696338.7450000001</v>
      </c>
      <c r="V132" s="105">
        <v>2831546.9369999999</v>
      </c>
      <c r="W132" s="105">
        <v>2788784.7149999999</v>
      </c>
      <c r="X132" s="105">
        <v>2786990.5490000001</v>
      </c>
      <c r="Y132" s="105">
        <v>2774281.051</v>
      </c>
      <c r="Z132" s="105">
        <v>2716869.3670000001</v>
      </c>
      <c r="AA132" s="105">
        <v>2760985.2940000002</v>
      </c>
      <c r="AB132" s="105">
        <v>2784130.338</v>
      </c>
      <c r="AC132" s="105">
        <v>2814992.2409999999</v>
      </c>
      <c r="AD132" s="105">
        <v>2802221.8930000002</v>
      </c>
      <c r="AE132" s="105">
        <v>2775824.952</v>
      </c>
      <c r="AF132" s="105">
        <v>2667320.6340000001</v>
      </c>
      <c r="AG132" s="105">
        <v>2788655.719</v>
      </c>
      <c r="AH132" s="105">
        <v>2698376.6970000002</v>
      </c>
      <c r="AI132" s="106">
        <v>2636975.79</v>
      </c>
      <c r="AJ132" s="105">
        <v>2701079.835</v>
      </c>
    </row>
    <row r="133" spans="1:36" ht="11.5" customHeight="1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 ht="14.5" x14ac:dyDescent="0.35">
      <c r="A134" s="101" t="s">
        <v>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 ht="13" x14ac:dyDescent="0.25">
      <c r="A135" s="3" t="s">
        <v>255</v>
      </c>
      <c r="B135" s="2" t="s">
        <v>70</v>
      </c>
    </row>
    <row r="136" spans="1:36" ht="11.5" customHeight="1" x14ac:dyDescent="0.25"/>
  </sheetData>
  <hyperlinks>
    <hyperlink ref="A1" r:id="rId1" xr:uid="{00000000-0004-0000-0300-000000000000}"/>
    <hyperlink ref="A45" r:id="rId2" xr:uid="{00000000-0004-0000-0300-000001000000}"/>
    <hyperlink ref="A106" r:id="rId3" xr:uid="{00000000-0004-0000-03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J132"/>
  <sheetViews>
    <sheetView workbookViewId="0">
      <pane xSplit="1" ySplit="2" topLeftCell="AB17" activePane="bottomRight" state="frozen"/>
      <selection pane="topRight" activeCell="B1" sqref="B1"/>
      <selection pane="bottomLeft" activeCell="A3" sqref="A3"/>
      <selection pane="bottomRight" activeCell="AE34" sqref="AE34:AJ37"/>
    </sheetView>
  </sheetViews>
  <sheetFormatPr defaultRowHeight="12.5" x14ac:dyDescent="0.25"/>
  <cols>
    <col min="1" max="1" width="25.7265625" style="16" customWidth="1"/>
    <col min="2" max="2" width="28.1796875" style="16" customWidth="1"/>
    <col min="3" max="16384" width="8.7265625" style="16"/>
  </cols>
  <sheetData>
    <row r="1" spans="1:36" x14ac:dyDescent="0.25">
      <c r="A1" s="15" t="s">
        <v>258</v>
      </c>
    </row>
    <row r="2" spans="1:36" x14ac:dyDescent="0.25">
      <c r="A2" s="16" t="s">
        <v>152</v>
      </c>
    </row>
    <row r="4" spans="1:36" ht="14.5" x14ac:dyDescent="0.35">
      <c r="A4" s="100" t="s">
        <v>297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4.5" x14ac:dyDescent="0.35">
      <c r="A5" s="100" t="s">
        <v>1</v>
      </c>
      <c r="B5" s="101" t="s">
        <v>296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ht="14.5" x14ac:dyDescent="0.35">
      <c r="A6" s="100" t="s">
        <v>2</v>
      </c>
      <c r="B6" s="100" t="s">
        <v>284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ht="14.5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ht="14.5" x14ac:dyDescent="0.35">
      <c r="A8" s="101" t="s">
        <v>3</v>
      </c>
      <c r="B8"/>
      <c r="C8" s="100" t="s">
        <v>4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ht="14.5" x14ac:dyDescent="0.35">
      <c r="A9" s="101" t="s">
        <v>153</v>
      </c>
      <c r="B9"/>
      <c r="C9" s="100" t="s">
        <v>154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ht="14.5" x14ac:dyDescent="0.35">
      <c r="A10" s="101" t="s">
        <v>155</v>
      </c>
      <c r="B10"/>
      <c r="C10" s="100" t="s">
        <v>154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ht="14.5" x14ac:dyDescent="0.35">
      <c r="A11" s="101" t="s">
        <v>115</v>
      </c>
      <c r="B11"/>
      <c r="C11" s="100" t="s">
        <v>179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ht="14.5" x14ac:dyDescent="0.35">
      <c r="A12" s="101" t="s">
        <v>5</v>
      </c>
      <c r="B12"/>
      <c r="C12" s="100" t="s">
        <v>180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ht="14.5" x14ac:dyDescent="0.35">
      <c r="A13" s="101" t="s">
        <v>7</v>
      </c>
      <c r="B13"/>
      <c r="C13" s="100" t="s">
        <v>8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ht="14.5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36" x14ac:dyDescent="0.25">
      <c r="A15" s="111" t="s">
        <v>9</v>
      </c>
      <c r="B15" s="102" t="s">
        <v>10</v>
      </c>
      <c r="C15" s="102" t="s">
        <v>11</v>
      </c>
      <c r="D15" s="102" t="s">
        <v>12</v>
      </c>
      <c r="E15" s="102" t="s">
        <v>13</v>
      </c>
      <c r="F15" s="102" t="s">
        <v>14</v>
      </c>
      <c r="G15" s="102" t="s">
        <v>15</v>
      </c>
      <c r="H15" s="102" t="s">
        <v>16</v>
      </c>
      <c r="I15" s="102" t="s">
        <v>17</v>
      </c>
      <c r="J15" s="102" t="s">
        <v>18</v>
      </c>
      <c r="K15" s="102" t="s">
        <v>19</v>
      </c>
      <c r="L15" s="102" t="s">
        <v>20</v>
      </c>
      <c r="M15" s="102" t="s">
        <v>21</v>
      </c>
      <c r="N15" s="102" t="s">
        <v>22</v>
      </c>
      <c r="O15" s="102" t="s">
        <v>23</v>
      </c>
      <c r="P15" s="102" t="s">
        <v>24</v>
      </c>
      <c r="Q15" s="102" t="s">
        <v>25</v>
      </c>
      <c r="R15" s="102" t="s">
        <v>26</v>
      </c>
      <c r="S15" s="102" t="s">
        <v>27</v>
      </c>
      <c r="T15" s="102" t="s">
        <v>28</v>
      </c>
      <c r="U15" s="102" t="s">
        <v>29</v>
      </c>
      <c r="V15" s="102" t="s">
        <v>30</v>
      </c>
      <c r="W15" s="102" t="s">
        <v>31</v>
      </c>
      <c r="X15" s="102" t="s">
        <v>32</v>
      </c>
      <c r="Y15" s="102" t="s">
        <v>33</v>
      </c>
      <c r="Z15" s="102" t="s">
        <v>34</v>
      </c>
      <c r="AA15" s="102" t="s">
        <v>35</v>
      </c>
      <c r="AB15" s="102" t="s">
        <v>36</v>
      </c>
      <c r="AC15" s="102" t="s">
        <v>37</v>
      </c>
      <c r="AD15" s="102" t="s">
        <v>38</v>
      </c>
      <c r="AE15" s="102" t="s">
        <v>39</v>
      </c>
      <c r="AF15" s="102" t="s">
        <v>40</v>
      </c>
      <c r="AG15" s="102" t="s">
        <v>41</v>
      </c>
      <c r="AH15" s="102" t="s">
        <v>42</v>
      </c>
      <c r="AI15" s="102" t="s">
        <v>254</v>
      </c>
      <c r="AJ15" s="102" t="s">
        <v>285</v>
      </c>
    </row>
    <row r="16" spans="1:36" ht="14.5" x14ac:dyDescent="0.35">
      <c r="A16" s="103" t="s">
        <v>43</v>
      </c>
      <c r="B16" s="88" t="s">
        <v>45</v>
      </c>
      <c r="C16" s="88" t="s">
        <v>45</v>
      </c>
      <c r="D16" s="88" t="s">
        <v>45</v>
      </c>
      <c r="E16" s="88" t="s">
        <v>45</v>
      </c>
      <c r="F16" s="88" t="s">
        <v>45</v>
      </c>
      <c r="G16" s="88" t="s">
        <v>45</v>
      </c>
      <c r="H16" s="88" t="s">
        <v>45</v>
      </c>
      <c r="I16" s="88" t="s">
        <v>45</v>
      </c>
      <c r="J16" s="88" t="s">
        <v>45</v>
      </c>
      <c r="K16" s="88" t="s">
        <v>45</v>
      </c>
      <c r="L16" s="88" t="s">
        <v>45</v>
      </c>
      <c r="M16" s="88" t="s">
        <v>45</v>
      </c>
      <c r="N16" s="88" t="s">
        <v>45</v>
      </c>
      <c r="O16" s="88" t="s">
        <v>45</v>
      </c>
      <c r="P16" s="88" t="s">
        <v>45</v>
      </c>
      <c r="Q16" s="88" t="s">
        <v>45</v>
      </c>
      <c r="R16" s="88" t="s">
        <v>45</v>
      </c>
      <c r="S16" s="88" t="s">
        <v>45</v>
      </c>
      <c r="T16" s="88" t="s">
        <v>45</v>
      </c>
      <c r="U16" s="88" t="s">
        <v>45</v>
      </c>
      <c r="V16" s="88" t="s">
        <v>45</v>
      </c>
      <c r="W16" s="88" t="s">
        <v>45</v>
      </c>
      <c r="X16" s="88" t="s">
        <v>45</v>
      </c>
      <c r="Y16" s="88" t="s">
        <v>45</v>
      </c>
      <c r="Z16" s="88" t="s">
        <v>45</v>
      </c>
      <c r="AA16" s="88" t="s">
        <v>45</v>
      </c>
      <c r="AB16" s="88" t="s">
        <v>45</v>
      </c>
      <c r="AC16" s="88" t="s">
        <v>45</v>
      </c>
      <c r="AD16" s="88" t="s">
        <v>45</v>
      </c>
      <c r="AE16" s="88" t="s">
        <v>45</v>
      </c>
      <c r="AF16" s="88" t="s">
        <v>45</v>
      </c>
      <c r="AG16" s="88" t="s">
        <v>45</v>
      </c>
      <c r="AH16" s="88" t="s">
        <v>45</v>
      </c>
      <c r="AI16" s="88" t="s">
        <v>45</v>
      </c>
      <c r="AJ16" s="88" t="s">
        <v>45</v>
      </c>
    </row>
    <row r="17" spans="1:36" x14ac:dyDescent="0.25">
      <c r="A17" s="104" t="s">
        <v>158</v>
      </c>
      <c r="B17" s="109" t="s">
        <v>255</v>
      </c>
      <c r="C17" s="109" t="s">
        <v>255</v>
      </c>
      <c r="D17" s="109" t="s">
        <v>255</v>
      </c>
      <c r="E17" s="109" t="s">
        <v>255</v>
      </c>
      <c r="F17" s="109" t="s">
        <v>255</v>
      </c>
      <c r="G17" s="109" t="s">
        <v>255</v>
      </c>
      <c r="H17" s="109" t="s">
        <v>255</v>
      </c>
      <c r="I17" s="109" t="s">
        <v>255</v>
      </c>
      <c r="J17" s="109" t="s">
        <v>255</v>
      </c>
      <c r="K17" s="109" t="s">
        <v>255</v>
      </c>
      <c r="L17" s="109" t="s">
        <v>255</v>
      </c>
      <c r="M17" s="109" t="s">
        <v>255</v>
      </c>
      <c r="N17" s="109" t="s">
        <v>255</v>
      </c>
      <c r="O17" s="109" t="s">
        <v>255</v>
      </c>
      <c r="P17" s="109" t="s">
        <v>255</v>
      </c>
      <c r="Q17" s="109" t="s">
        <v>255</v>
      </c>
      <c r="R17" s="109" t="s">
        <v>255</v>
      </c>
      <c r="S17" s="109" t="s">
        <v>255</v>
      </c>
      <c r="T17" s="109" t="s">
        <v>255</v>
      </c>
      <c r="U17" s="109" t="s">
        <v>255</v>
      </c>
      <c r="V17" s="109" t="s">
        <v>255</v>
      </c>
      <c r="W17" s="109" t="s">
        <v>255</v>
      </c>
      <c r="X17" s="109" t="s">
        <v>255</v>
      </c>
      <c r="Y17" s="109" t="s">
        <v>255</v>
      </c>
      <c r="Z17" s="109" t="s">
        <v>255</v>
      </c>
      <c r="AA17" s="109" t="s">
        <v>255</v>
      </c>
      <c r="AB17" s="109" t="s">
        <v>255</v>
      </c>
      <c r="AC17" s="109" t="s">
        <v>255</v>
      </c>
      <c r="AD17" s="109" t="s">
        <v>255</v>
      </c>
      <c r="AE17" s="109" t="s">
        <v>255</v>
      </c>
      <c r="AF17" s="109" t="s">
        <v>255</v>
      </c>
      <c r="AG17" s="109" t="s">
        <v>255</v>
      </c>
      <c r="AH17" s="109" t="s">
        <v>255</v>
      </c>
      <c r="AI17" s="109" t="s">
        <v>255</v>
      </c>
      <c r="AJ17" s="109" t="s">
        <v>255</v>
      </c>
    </row>
    <row r="18" spans="1:36" x14ac:dyDescent="0.25">
      <c r="A18" s="104" t="s">
        <v>159</v>
      </c>
      <c r="B18" s="110" t="s">
        <v>255</v>
      </c>
      <c r="C18" s="110" t="s">
        <v>255</v>
      </c>
      <c r="D18" s="110" t="s">
        <v>255</v>
      </c>
      <c r="E18" s="110" t="s">
        <v>255</v>
      </c>
      <c r="F18" s="110" t="s">
        <v>255</v>
      </c>
      <c r="G18" s="110" t="s">
        <v>255</v>
      </c>
      <c r="H18" s="110" t="s">
        <v>255</v>
      </c>
      <c r="I18" s="110" t="s">
        <v>255</v>
      </c>
      <c r="J18" s="110" t="s">
        <v>255</v>
      </c>
      <c r="K18" s="110" t="s">
        <v>255</v>
      </c>
      <c r="L18" s="110" t="s">
        <v>255</v>
      </c>
      <c r="M18" s="110" t="s">
        <v>255</v>
      </c>
      <c r="N18" s="110" t="s">
        <v>255</v>
      </c>
      <c r="O18" s="110" t="s">
        <v>255</v>
      </c>
      <c r="P18" s="110" t="s">
        <v>255</v>
      </c>
      <c r="Q18" s="110" t="s">
        <v>255</v>
      </c>
      <c r="R18" s="110" t="s">
        <v>255</v>
      </c>
      <c r="S18" s="110" t="s">
        <v>255</v>
      </c>
      <c r="T18" s="110" t="s">
        <v>255</v>
      </c>
      <c r="U18" s="110" t="s">
        <v>255</v>
      </c>
      <c r="V18" s="110" t="s">
        <v>255</v>
      </c>
      <c r="W18" s="110" t="s">
        <v>255</v>
      </c>
      <c r="X18" s="110" t="s">
        <v>255</v>
      </c>
      <c r="Y18" s="110" t="s">
        <v>255</v>
      </c>
      <c r="Z18" s="110" t="s">
        <v>255</v>
      </c>
      <c r="AA18" s="110" t="s">
        <v>255</v>
      </c>
      <c r="AB18" s="110" t="s">
        <v>255</v>
      </c>
      <c r="AC18" s="110" t="s">
        <v>255</v>
      </c>
      <c r="AD18" s="110" t="s">
        <v>255</v>
      </c>
      <c r="AE18" s="110" t="s">
        <v>255</v>
      </c>
      <c r="AF18" s="110" t="s">
        <v>255</v>
      </c>
      <c r="AG18" s="110" t="s">
        <v>255</v>
      </c>
      <c r="AH18" s="110" t="s">
        <v>255</v>
      </c>
      <c r="AI18" s="110" t="s">
        <v>255</v>
      </c>
      <c r="AJ18" s="110" t="s">
        <v>255</v>
      </c>
    </row>
    <row r="19" spans="1:36" x14ac:dyDescent="0.25">
      <c r="A19" s="104" t="s">
        <v>160</v>
      </c>
      <c r="B19" s="109" t="s">
        <v>255</v>
      </c>
      <c r="C19" s="109" t="s">
        <v>255</v>
      </c>
      <c r="D19" s="109" t="s">
        <v>255</v>
      </c>
      <c r="E19" s="109" t="s">
        <v>255</v>
      </c>
      <c r="F19" s="109" t="s">
        <v>255</v>
      </c>
      <c r="G19" s="109" t="s">
        <v>255</v>
      </c>
      <c r="H19" s="109" t="s">
        <v>255</v>
      </c>
      <c r="I19" s="109" t="s">
        <v>255</v>
      </c>
      <c r="J19" s="109" t="s">
        <v>255</v>
      </c>
      <c r="K19" s="109" t="s">
        <v>255</v>
      </c>
      <c r="L19" s="109" t="s">
        <v>255</v>
      </c>
      <c r="M19" s="109" t="s">
        <v>255</v>
      </c>
      <c r="N19" s="109" t="s">
        <v>255</v>
      </c>
      <c r="O19" s="109" t="s">
        <v>255</v>
      </c>
      <c r="P19" s="109" t="s">
        <v>255</v>
      </c>
      <c r="Q19" s="109" t="s">
        <v>255</v>
      </c>
      <c r="R19" s="109" t="s">
        <v>255</v>
      </c>
      <c r="S19" s="109" t="s">
        <v>255</v>
      </c>
      <c r="T19" s="109" t="s">
        <v>255</v>
      </c>
      <c r="U19" s="109" t="s">
        <v>255</v>
      </c>
      <c r="V19" s="109" t="s">
        <v>255</v>
      </c>
      <c r="W19" s="109" t="s">
        <v>255</v>
      </c>
      <c r="X19" s="109" t="s">
        <v>255</v>
      </c>
      <c r="Y19" s="109" t="s">
        <v>255</v>
      </c>
      <c r="Z19" s="109" t="s">
        <v>255</v>
      </c>
      <c r="AA19" s="109" t="s">
        <v>255</v>
      </c>
      <c r="AB19" s="109" t="s">
        <v>255</v>
      </c>
      <c r="AC19" s="109" t="s">
        <v>255</v>
      </c>
      <c r="AD19" s="109" t="s">
        <v>255</v>
      </c>
      <c r="AE19" s="109" t="s">
        <v>255</v>
      </c>
      <c r="AF19" s="109" t="s">
        <v>255</v>
      </c>
      <c r="AG19" s="109" t="s">
        <v>255</v>
      </c>
      <c r="AH19" s="109" t="s">
        <v>255</v>
      </c>
      <c r="AI19" s="109" t="s">
        <v>255</v>
      </c>
      <c r="AJ19" s="109" t="s">
        <v>255</v>
      </c>
    </row>
    <row r="20" spans="1:36" x14ac:dyDescent="0.25">
      <c r="A20" s="104" t="s">
        <v>161</v>
      </c>
      <c r="B20" s="110" t="s">
        <v>255</v>
      </c>
      <c r="C20" s="110" t="s">
        <v>255</v>
      </c>
      <c r="D20" s="110" t="s">
        <v>255</v>
      </c>
      <c r="E20" s="110" t="s">
        <v>255</v>
      </c>
      <c r="F20" s="110" t="s">
        <v>255</v>
      </c>
      <c r="G20" s="110" t="s">
        <v>255</v>
      </c>
      <c r="H20" s="110" t="s">
        <v>255</v>
      </c>
      <c r="I20" s="110" t="s">
        <v>255</v>
      </c>
      <c r="J20" s="110" t="s">
        <v>255</v>
      </c>
      <c r="K20" s="110" t="s">
        <v>255</v>
      </c>
      <c r="L20" s="110" t="s">
        <v>255</v>
      </c>
      <c r="M20" s="110" t="s">
        <v>255</v>
      </c>
      <c r="N20" s="110" t="s">
        <v>255</v>
      </c>
      <c r="O20" s="110" t="s">
        <v>255</v>
      </c>
      <c r="P20" s="110" t="s">
        <v>255</v>
      </c>
      <c r="Q20" s="110" t="s">
        <v>255</v>
      </c>
      <c r="R20" s="110" t="s">
        <v>255</v>
      </c>
      <c r="S20" s="110" t="s">
        <v>255</v>
      </c>
      <c r="T20" s="110" t="s">
        <v>255</v>
      </c>
      <c r="U20" s="110" t="s">
        <v>255</v>
      </c>
      <c r="V20" s="110" t="s">
        <v>255</v>
      </c>
      <c r="W20" s="110" t="s">
        <v>255</v>
      </c>
      <c r="X20" s="110" t="s">
        <v>255</v>
      </c>
      <c r="Y20" s="110" t="s">
        <v>255</v>
      </c>
      <c r="Z20" s="110" t="s">
        <v>255</v>
      </c>
      <c r="AA20" s="110" t="s">
        <v>255</v>
      </c>
      <c r="AB20" s="110" t="s">
        <v>255</v>
      </c>
      <c r="AC20" s="110" t="s">
        <v>255</v>
      </c>
      <c r="AD20" s="110" t="s">
        <v>255</v>
      </c>
      <c r="AE20" s="110" t="s">
        <v>255</v>
      </c>
      <c r="AF20" s="110" t="s">
        <v>255</v>
      </c>
      <c r="AG20" s="110" t="s">
        <v>255</v>
      </c>
      <c r="AH20" s="110" t="s">
        <v>255</v>
      </c>
      <c r="AI20" s="110" t="s">
        <v>255</v>
      </c>
      <c r="AJ20" s="110" t="s">
        <v>255</v>
      </c>
    </row>
    <row r="21" spans="1:36" x14ac:dyDescent="0.25">
      <c r="A21" s="104" t="s">
        <v>162</v>
      </c>
      <c r="B21" s="109" t="s">
        <v>255</v>
      </c>
      <c r="C21" s="109" t="s">
        <v>255</v>
      </c>
      <c r="D21" s="109" t="s">
        <v>255</v>
      </c>
      <c r="E21" s="109" t="s">
        <v>255</v>
      </c>
      <c r="F21" s="109" t="s">
        <v>255</v>
      </c>
      <c r="G21" s="109" t="s">
        <v>255</v>
      </c>
      <c r="H21" s="109" t="s">
        <v>255</v>
      </c>
      <c r="I21" s="109" t="s">
        <v>255</v>
      </c>
      <c r="J21" s="109" t="s">
        <v>255</v>
      </c>
      <c r="K21" s="109" t="s">
        <v>255</v>
      </c>
      <c r="L21" s="109" t="s">
        <v>255</v>
      </c>
      <c r="M21" s="109" t="s">
        <v>255</v>
      </c>
      <c r="N21" s="109" t="s">
        <v>255</v>
      </c>
      <c r="O21" s="109" t="s">
        <v>255</v>
      </c>
      <c r="P21" s="109" t="s">
        <v>255</v>
      </c>
      <c r="Q21" s="109" t="s">
        <v>255</v>
      </c>
      <c r="R21" s="109" t="s">
        <v>255</v>
      </c>
      <c r="S21" s="109" t="s">
        <v>255</v>
      </c>
      <c r="T21" s="109" t="s">
        <v>255</v>
      </c>
      <c r="U21" s="109" t="s">
        <v>255</v>
      </c>
      <c r="V21" s="109" t="s">
        <v>255</v>
      </c>
      <c r="W21" s="109" t="s">
        <v>255</v>
      </c>
      <c r="X21" s="109" t="s">
        <v>255</v>
      </c>
      <c r="Y21" s="109" t="s">
        <v>255</v>
      </c>
      <c r="Z21" s="109" t="s">
        <v>255</v>
      </c>
      <c r="AA21" s="109" t="s">
        <v>255</v>
      </c>
      <c r="AB21" s="109" t="s">
        <v>255</v>
      </c>
      <c r="AC21" s="109" t="s">
        <v>255</v>
      </c>
      <c r="AD21" s="109" t="s">
        <v>255</v>
      </c>
      <c r="AE21" s="109" t="s">
        <v>255</v>
      </c>
      <c r="AF21" s="109" t="s">
        <v>255</v>
      </c>
      <c r="AG21" s="109" t="s">
        <v>255</v>
      </c>
      <c r="AH21" s="109" t="s">
        <v>255</v>
      </c>
      <c r="AI21" s="109" t="s">
        <v>255</v>
      </c>
      <c r="AJ21" s="109" t="s">
        <v>255</v>
      </c>
    </row>
    <row r="22" spans="1:36" x14ac:dyDescent="0.25">
      <c r="A22" s="104" t="s">
        <v>163</v>
      </c>
      <c r="B22" s="110" t="s">
        <v>255</v>
      </c>
      <c r="C22" s="110" t="s">
        <v>255</v>
      </c>
      <c r="D22" s="110" t="s">
        <v>255</v>
      </c>
      <c r="E22" s="110" t="s">
        <v>255</v>
      </c>
      <c r="F22" s="110" t="s">
        <v>255</v>
      </c>
      <c r="G22" s="110" t="s">
        <v>255</v>
      </c>
      <c r="H22" s="110" t="s">
        <v>255</v>
      </c>
      <c r="I22" s="110" t="s">
        <v>255</v>
      </c>
      <c r="J22" s="110" t="s">
        <v>255</v>
      </c>
      <c r="K22" s="110" t="s">
        <v>255</v>
      </c>
      <c r="L22" s="110" t="s">
        <v>255</v>
      </c>
      <c r="M22" s="110" t="s">
        <v>255</v>
      </c>
      <c r="N22" s="110" t="s">
        <v>255</v>
      </c>
      <c r="O22" s="110" t="s">
        <v>255</v>
      </c>
      <c r="P22" s="110" t="s">
        <v>255</v>
      </c>
      <c r="Q22" s="110" t="s">
        <v>255</v>
      </c>
      <c r="R22" s="110" t="s">
        <v>255</v>
      </c>
      <c r="S22" s="110" t="s">
        <v>255</v>
      </c>
      <c r="T22" s="110" t="s">
        <v>255</v>
      </c>
      <c r="U22" s="110" t="s">
        <v>255</v>
      </c>
      <c r="V22" s="110" t="s">
        <v>255</v>
      </c>
      <c r="W22" s="110" t="s">
        <v>255</v>
      </c>
      <c r="X22" s="110" t="s">
        <v>255</v>
      </c>
      <c r="Y22" s="110" t="s">
        <v>255</v>
      </c>
      <c r="Z22" s="110" t="s">
        <v>255</v>
      </c>
      <c r="AA22" s="110" t="s">
        <v>255</v>
      </c>
      <c r="AB22" s="110" t="s">
        <v>255</v>
      </c>
      <c r="AC22" s="110" t="s">
        <v>255</v>
      </c>
      <c r="AD22" s="110" t="s">
        <v>255</v>
      </c>
      <c r="AE22" s="110" t="s">
        <v>255</v>
      </c>
      <c r="AF22" s="110" t="s">
        <v>255</v>
      </c>
      <c r="AG22" s="110" t="s">
        <v>255</v>
      </c>
      <c r="AH22" s="110" t="s">
        <v>255</v>
      </c>
      <c r="AI22" s="110" t="s">
        <v>255</v>
      </c>
      <c r="AJ22" s="110" t="s">
        <v>255</v>
      </c>
    </row>
    <row r="23" spans="1:36" x14ac:dyDescent="0.25">
      <c r="A23" s="104" t="s">
        <v>164</v>
      </c>
      <c r="B23" s="107">
        <v>67</v>
      </c>
      <c r="C23" s="107">
        <v>76</v>
      </c>
      <c r="D23" s="107">
        <v>69</v>
      </c>
      <c r="E23" s="107">
        <v>104</v>
      </c>
      <c r="F23" s="107">
        <v>107</v>
      </c>
      <c r="G23" s="107">
        <v>372</v>
      </c>
      <c r="H23" s="107">
        <v>435</v>
      </c>
      <c r="I23" s="107">
        <v>378</v>
      </c>
      <c r="J23" s="107">
        <v>409</v>
      </c>
      <c r="K23" s="107">
        <v>813</v>
      </c>
      <c r="L23" s="107">
        <v>716</v>
      </c>
      <c r="M23" s="107">
        <v>1025</v>
      </c>
      <c r="N23" s="107">
        <v>1204</v>
      </c>
      <c r="O23" s="107">
        <v>1005</v>
      </c>
      <c r="P23" s="107">
        <v>1035</v>
      </c>
      <c r="Q23" s="108">
        <v>4689.7860000000001</v>
      </c>
      <c r="R23" s="108">
        <v>4501.2690000000002</v>
      </c>
      <c r="S23" s="108">
        <v>4331.125</v>
      </c>
      <c r="T23" s="108">
        <v>4466.1689999999999</v>
      </c>
      <c r="U23" s="108">
        <v>4283.8459999999995</v>
      </c>
      <c r="V23" s="108">
        <v>5221.1059999999998</v>
      </c>
      <c r="W23" s="108">
        <v>4746.5540000000001</v>
      </c>
      <c r="X23" s="108">
        <v>5276.8459999999995</v>
      </c>
      <c r="Y23" s="108">
        <v>6233.9740000000002</v>
      </c>
      <c r="Z23" s="108">
        <v>7065.3580000000002</v>
      </c>
      <c r="AA23" s="108">
        <v>8155.0990000000002</v>
      </c>
      <c r="AB23" s="108">
        <v>9910.6980000000003</v>
      </c>
      <c r="AC23" s="108">
        <v>10956.771000000001</v>
      </c>
      <c r="AD23" s="108">
        <v>11871.035</v>
      </c>
      <c r="AE23" s="108">
        <v>12944.665000000001</v>
      </c>
      <c r="AF23" s="108">
        <v>13385.829</v>
      </c>
      <c r="AG23" s="108">
        <v>14079.066999999999</v>
      </c>
      <c r="AH23" s="107">
        <v>14784.38</v>
      </c>
      <c r="AI23" s="107">
        <v>14434.14</v>
      </c>
      <c r="AJ23" s="108">
        <v>14340.451999999999</v>
      </c>
    </row>
    <row r="24" spans="1:36" x14ac:dyDescent="0.25">
      <c r="A24" s="104" t="s">
        <v>165</v>
      </c>
      <c r="B24" s="110" t="s">
        <v>255</v>
      </c>
      <c r="C24" s="110" t="s">
        <v>255</v>
      </c>
      <c r="D24" s="110" t="s">
        <v>255</v>
      </c>
      <c r="E24" s="110" t="s">
        <v>255</v>
      </c>
      <c r="F24" s="110" t="s">
        <v>255</v>
      </c>
      <c r="G24" s="110" t="s">
        <v>255</v>
      </c>
      <c r="H24" s="110" t="s">
        <v>255</v>
      </c>
      <c r="I24" s="110" t="s">
        <v>255</v>
      </c>
      <c r="J24" s="110" t="s">
        <v>255</v>
      </c>
      <c r="K24" s="110" t="s">
        <v>255</v>
      </c>
      <c r="L24" s="110" t="s">
        <v>255</v>
      </c>
      <c r="M24" s="110" t="s">
        <v>255</v>
      </c>
      <c r="N24" s="110" t="s">
        <v>255</v>
      </c>
      <c r="O24" s="110" t="s">
        <v>255</v>
      </c>
      <c r="P24" s="110" t="s">
        <v>255</v>
      </c>
      <c r="Q24" s="110" t="s">
        <v>255</v>
      </c>
      <c r="R24" s="110" t="s">
        <v>255</v>
      </c>
      <c r="S24" s="110" t="s">
        <v>255</v>
      </c>
      <c r="T24" s="110" t="s">
        <v>255</v>
      </c>
      <c r="U24" s="110" t="s">
        <v>255</v>
      </c>
      <c r="V24" s="110" t="s">
        <v>255</v>
      </c>
      <c r="W24" s="110" t="s">
        <v>255</v>
      </c>
      <c r="X24" s="110" t="s">
        <v>255</v>
      </c>
      <c r="Y24" s="110" t="s">
        <v>255</v>
      </c>
      <c r="Z24" s="110" t="s">
        <v>255</v>
      </c>
      <c r="AA24" s="110" t="s">
        <v>255</v>
      </c>
      <c r="AB24" s="110" t="s">
        <v>255</v>
      </c>
      <c r="AC24" s="110" t="s">
        <v>255</v>
      </c>
      <c r="AD24" s="110" t="s">
        <v>255</v>
      </c>
      <c r="AE24" s="110" t="s">
        <v>255</v>
      </c>
      <c r="AF24" s="110" t="s">
        <v>255</v>
      </c>
      <c r="AG24" s="110" t="s">
        <v>255</v>
      </c>
      <c r="AH24" s="110" t="s">
        <v>255</v>
      </c>
      <c r="AI24" s="110" t="s">
        <v>255</v>
      </c>
      <c r="AJ24" s="110" t="s">
        <v>255</v>
      </c>
    </row>
    <row r="25" spans="1:36" x14ac:dyDescent="0.25">
      <c r="A25" s="104" t="s">
        <v>166</v>
      </c>
      <c r="B25" s="109" t="s">
        <v>255</v>
      </c>
      <c r="C25" s="109" t="s">
        <v>255</v>
      </c>
      <c r="D25" s="109" t="s">
        <v>255</v>
      </c>
      <c r="E25" s="109" t="s">
        <v>255</v>
      </c>
      <c r="F25" s="109" t="s">
        <v>255</v>
      </c>
      <c r="G25" s="109" t="s">
        <v>255</v>
      </c>
      <c r="H25" s="109" t="s">
        <v>255</v>
      </c>
      <c r="I25" s="109" t="s">
        <v>255</v>
      </c>
      <c r="J25" s="109" t="s">
        <v>255</v>
      </c>
      <c r="K25" s="109" t="s">
        <v>255</v>
      </c>
      <c r="L25" s="109" t="s">
        <v>255</v>
      </c>
      <c r="M25" s="109" t="s">
        <v>255</v>
      </c>
      <c r="N25" s="109" t="s">
        <v>255</v>
      </c>
      <c r="O25" s="109" t="s">
        <v>255</v>
      </c>
      <c r="P25" s="109" t="s">
        <v>255</v>
      </c>
      <c r="Q25" s="109" t="s">
        <v>255</v>
      </c>
      <c r="R25" s="109" t="s">
        <v>255</v>
      </c>
      <c r="S25" s="109" t="s">
        <v>255</v>
      </c>
      <c r="T25" s="109" t="s">
        <v>255</v>
      </c>
      <c r="U25" s="109" t="s">
        <v>255</v>
      </c>
      <c r="V25" s="109" t="s">
        <v>255</v>
      </c>
      <c r="W25" s="109" t="s">
        <v>255</v>
      </c>
      <c r="X25" s="109" t="s">
        <v>255</v>
      </c>
      <c r="Y25" s="109" t="s">
        <v>255</v>
      </c>
      <c r="Z25" s="109" t="s">
        <v>255</v>
      </c>
      <c r="AA25" s="109" t="s">
        <v>255</v>
      </c>
      <c r="AB25" s="109" t="s">
        <v>255</v>
      </c>
      <c r="AC25" s="109" t="s">
        <v>255</v>
      </c>
      <c r="AD25" s="109" t="s">
        <v>255</v>
      </c>
      <c r="AE25" s="109" t="s">
        <v>255</v>
      </c>
      <c r="AF25" s="109" t="s">
        <v>255</v>
      </c>
      <c r="AG25" s="109" t="s">
        <v>255</v>
      </c>
      <c r="AH25" s="109" t="s">
        <v>255</v>
      </c>
      <c r="AI25" s="109" t="s">
        <v>255</v>
      </c>
      <c r="AJ25" s="109" t="s">
        <v>255</v>
      </c>
    </row>
    <row r="26" spans="1:36" x14ac:dyDescent="0.25">
      <c r="A26" s="104" t="s">
        <v>167</v>
      </c>
      <c r="B26" s="110" t="s">
        <v>255</v>
      </c>
      <c r="C26" s="110" t="s">
        <v>255</v>
      </c>
      <c r="D26" s="110" t="s">
        <v>255</v>
      </c>
      <c r="E26" s="110" t="s">
        <v>255</v>
      </c>
      <c r="F26" s="110" t="s">
        <v>255</v>
      </c>
      <c r="G26" s="110" t="s">
        <v>255</v>
      </c>
      <c r="H26" s="110" t="s">
        <v>255</v>
      </c>
      <c r="I26" s="110" t="s">
        <v>255</v>
      </c>
      <c r="J26" s="110" t="s">
        <v>255</v>
      </c>
      <c r="K26" s="110" t="s">
        <v>255</v>
      </c>
      <c r="L26" s="110" t="s">
        <v>255</v>
      </c>
      <c r="M26" s="110" t="s">
        <v>255</v>
      </c>
      <c r="N26" s="110" t="s">
        <v>255</v>
      </c>
      <c r="O26" s="110" t="s">
        <v>255</v>
      </c>
      <c r="P26" s="110" t="s">
        <v>255</v>
      </c>
      <c r="Q26" s="110" t="s">
        <v>255</v>
      </c>
      <c r="R26" s="110" t="s">
        <v>255</v>
      </c>
      <c r="S26" s="110" t="s">
        <v>255</v>
      </c>
      <c r="T26" s="110" t="s">
        <v>255</v>
      </c>
      <c r="U26" s="110" t="s">
        <v>255</v>
      </c>
      <c r="V26" s="110" t="s">
        <v>255</v>
      </c>
      <c r="W26" s="110" t="s">
        <v>255</v>
      </c>
      <c r="X26" s="110" t="s">
        <v>255</v>
      </c>
      <c r="Y26" s="110" t="s">
        <v>255</v>
      </c>
      <c r="Z26" s="110" t="s">
        <v>255</v>
      </c>
      <c r="AA26" s="110" t="s">
        <v>255</v>
      </c>
      <c r="AB26" s="110" t="s">
        <v>255</v>
      </c>
      <c r="AC26" s="110" t="s">
        <v>255</v>
      </c>
      <c r="AD26" s="110" t="s">
        <v>255</v>
      </c>
      <c r="AE26" s="110" t="s">
        <v>255</v>
      </c>
      <c r="AF26" s="110" t="s">
        <v>255</v>
      </c>
      <c r="AG26" s="110" t="s">
        <v>255</v>
      </c>
      <c r="AH26" s="110" t="s">
        <v>255</v>
      </c>
      <c r="AI26" s="110" t="s">
        <v>255</v>
      </c>
      <c r="AJ26" s="110" t="s">
        <v>255</v>
      </c>
    </row>
    <row r="27" spans="1:36" x14ac:dyDescent="0.25">
      <c r="A27" s="104" t="s">
        <v>168</v>
      </c>
      <c r="B27" s="107">
        <v>6</v>
      </c>
      <c r="C27" s="107">
        <v>6</v>
      </c>
      <c r="D27" s="107">
        <v>6</v>
      </c>
      <c r="E27" s="107">
        <v>6</v>
      </c>
      <c r="F27" s="107">
        <v>6</v>
      </c>
      <c r="G27" s="107">
        <v>6</v>
      </c>
      <c r="H27" s="107">
        <v>6</v>
      </c>
      <c r="I27" s="107">
        <v>19</v>
      </c>
      <c r="J27" s="107">
        <v>16</v>
      </c>
      <c r="K27" s="107">
        <v>23</v>
      </c>
      <c r="L27" s="107">
        <v>24</v>
      </c>
      <c r="M27" s="107">
        <v>27</v>
      </c>
      <c r="N27" s="107">
        <v>37</v>
      </c>
      <c r="O27" s="107">
        <v>51</v>
      </c>
      <c r="P27" s="107">
        <v>51</v>
      </c>
      <c r="Q27" s="107">
        <v>55</v>
      </c>
      <c r="R27" s="107">
        <v>49</v>
      </c>
      <c r="S27" s="107">
        <v>62</v>
      </c>
      <c r="T27" s="107">
        <v>69</v>
      </c>
      <c r="U27" s="107">
        <v>164.2</v>
      </c>
      <c r="V27" s="108">
        <v>206.29900000000001</v>
      </c>
      <c r="W27" s="108">
        <v>297.774</v>
      </c>
      <c r="X27" s="108">
        <v>454.58699999999999</v>
      </c>
      <c r="Y27" s="108">
        <v>579.53599999999994</v>
      </c>
      <c r="Z27" s="107">
        <v>829.65</v>
      </c>
      <c r="AA27" s="108">
        <v>1062.0509999999999</v>
      </c>
      <c r="AB27" s="108">
        <v>1493.2840000000001</v>
      </c>
      <c r="AC27" s="108">
        <v>1837.712</v>
      </c>
      <c r="AD27" s="108">
        <v>2266.768</v>
      </c>
      <c r="AE27" s="108">
        <v>2461.7530000000002</v>
      </c>
      <c r="AF27" s="108">
        <v>2842.8429999999998</v>
      </c>
      <c r="AG27" s="108">
        <v>2583.7710000000002</v>
      </c>
      <c r="AH27" s="108">
        <v>3048.317</v>
      </c>
      <c r="AI27" s="108">
        <v>2922.0410000000002</v>
      </c>
      <c r="AJ27" s="108">
        <v>2676.8029999999999</v>
      </c>
    </row>
    <row r="28" spans="1:36" x14ac:dyDescent="0.25">
      <c r="A28" s="104" t="s">
        <v>169</v>
      </c>
      <c r="B28" s="110" t="s">
        <v>255</v>
      </c>
      <c r="C28" s="110" t="s">
        <v>255</v>
      </c>
      <c r="D28" s="110" t="s">
        <v>255</v>
      </c>
      <c r="E28" s="110" t="s">
        <v>255</v>
      </c>
      <c r="F28" s="110" t="s">
        <v>255</v>
      </c>
      <c r="G28" s="110" t="s">
        <v>255</v>
      </c>
      <c r="H28" s="110" t="s">
        <v>255</v>
      </c>
      <c r="I28" s="110" t="s">
        <v>255</v>
      </c>
      <c r="J28" s="110" t="s">
        <v>255</v>
      </c>
      <c r="K28" s="110" t="s">
        <v>255</v>
      </c>
      <c r="L28" s="110" t="s">
        <v>255</v>
      </c>
      <c r="M28" s="110" t="s">
        <v>255</v>
      </c>
      <c r="N28" s="110" t="s">
        <v>255</v>
      </c>
      <c r="O28" s="110" t="s">
        <v>255</v>
      </c>
      <c r="P28" s="110" t="s">
        <v>255</v>
      </c>
      <c r="Q28" s="110" t="s">
        <v>255</v>
      </c>
      <c r="R28" s="110" t="s">
        <v>255</v>
      </c>
      <c r="S28" s="110" t="s">
        <v>255</v>
      </c>
      <c r="T28" s="110" t="s">
        <v>255</v>
      </c>
      <c r="U28" s="110" t="s">
        <v>255</v>
      </c>
      <c r="V28" s="110" t="s">
        <v>255</v>
      </c>
      <c r="W28" s="110" t="s">
        <v>255</v>
      </c>
      <c r="X28" s="110" t="s">
        <v>255</v>
      </c>
      <c r="Y28" s="110" t="s">
        <v>255</v>
      </c>
      <c r="Z28" s="110" t="s">
        <v>255</v>
      </c>
      <c r="AA28" s="110" t="s">
        <v>255</v>
      </c>
      <c r="AB28" s="110" t="s">
        <v>255</v>
      </c>
      <c r="AC28" s="110" t="s">
        <v>255</v>
      </c>
      <c r="AD28" s="110" t="s">
        <v>255</v>
      </c>
      <c r="AE28" s="110" t="s">
        <v>255</v>
      </c>
      <c r="AF28" s="110" t="s">
        <v>255</v>
      </c>
      <c r="AG28" s="110" t="s">
        <v>255</v>
      </c>
      <c r="AH28" s="110" t="s">
        <v>255</v>
      </c>
      <c r="AI28" s="110" t="s">
        <v>255</v>
      </c>
      <c r="AJ28" s="110" t="s">
        <v>255</v>
      </c>
    </row>
    <row r="29" spans="1:36" x14ac:dyDescent="0.25">
      <c r="A29" s="104" t="s">
        <v>170</v>
      </c>
      <c r="B29" s="109" t="s">
        <v>255</v>
      </c>
      <c r="C29" s="109" t="s">
        <v>255</v>
      </c>
      <c r="D29" s="109" t="s">
        <v>255</v>
      </c>
      <c r="E29" s="109" t="s">
        <v>255</v>
      </c>
      <c r="F29" s="109" t="s">
        <v>255</v>
      </c>
      <c r="G29" s="109" t="s">
        <v>255</v>
      </c>
      <c r="H29" s="109" t="s">
        <v>255</v>
      </c>
      <c r="I29" s="109" t="s">
        <v>255</v>
      </c>
      <c r="J29" s="109" t="s">
        <v>255</v>
      </c>
      <c r="K29" s="109" t="s">
        <v>255</v>
      </c>
      <c r="L29" s="109" t="s">
        <v>255</v>
      </c>
      <c r="M29" s="109" t="s">
        <v>255</v>
      </c>
      <c r="N29" s="109" t="s">
        <v>255</v>
      </c>
      <c r="O29" s="109" t="s">
        <v>255</v>
      </c>
      <c r="P29" s="109" t="s">
        <v>255</v>
      </c>
      <c r="Q29" s="109" t="s">
        <v>255</v>
      </c>
      <c r="R29" s="109" t="s">
        <v>255</v>
      </c>
      <c r="S29" s="109" t="s">
        <v>255</v>
      </c>
      <c r="T29" s="109" t="s">
        <v>255</v>
      </c>
      <c r="U29" s="109" t="s">
        <v>255</v>
      </c>
      <c r="V29" s="109" t="s">
        <v>255</v>
      </c>
      <c r="W29" s="109" t="s">
        <v>255</v>
      </c>
      <c r="X29" s="109" t="s">
        <v>255</v>
      </c>
      <c r="Y29" s="109" t="s">
        <v>255</v>
      </c>
      <c r="Z29" s="109" t="s">
        <v>255</v>
      </c>
      <c r="AA29" s="109" t="s">
        <v>255</v>
      </c>
      <c r="AB29" s="109" t="s">
        <v>255</v>
      </c>
      <c r="AC29" s="109" t="s">
        <v>255</v>
      </c>
      <c r="AD29" s="109" t="s">
        <v>255</v>
      </c>
      <c r="AE29" s="109" t="s">
        <v>255</v>
      </c>
      <c r="AF29" s="109" t="s">
        <v>255</v>
      </c>
      <c r="AG29" s="109" t="s">
        <v>255</v>
      </c>
      <c r="AH29" s="109" t="s">
        <v>255</v>
      </c>
      <c r="AI29" s="109" t="s">
        <v>255</v>
      </c>
      <c r="AJ29" s="109" t="s">
        <v>255</v>
      </c>
    </row>
    <row r="30" spans="1:36" x14ac:dyDescent="0.25">
      <c r="A30" s="104" t="s">
        <v>171</v>
      </c>
      <c r="B30" s="110" t="s">
        <v>255</v>
      </c>
      <c r="C30" s="110" t="s">
        <v>255</v>
      </c>
      <c r="D30" s="110" t="s">
        <v>255</v>
      </c>
      <c r="E30" s="110" t="s">
        <v>255</v>
      </c>
      <c r="F30" s="110" t="s">
        <v>255</v>
      </c>
      <c r="G30" s="110" t="s">
        <v>255</v>
      </c>
      <c r="H30" s="110" t="s">
        <v>255</v>
      </c>
      <c r="I30" s="110" t="s">
        <v>255</v>
      </c>
      <c r="J30" s="110" t="s">
        <v>255</v>
      </c>
      <c r="K30" s="110" t="s">
        <v>255</v>
      </c>
      <c r="L30" s="110" t="s">
        <v>255</v>
      </c>
      <c r="M30" s="110" t="s">
        <v>255</v>
      </c>
      <c r="N30" s="110" t="s">
        <v>255</v>
      </c>
      <c r="O30" s="110" t="s">
        <v>255</v>
      </c>
      <c r="P30" s="110" t="s">
        <v>255</v>
      </c>
      <c r="Q30" s="110" t="s">
        <v>255</v>
      </c>
      <c r="R30" s="110" t="s">
        <v>255</v>
      </c>
      <c r="S30" s="110" t="s">
        <v>255</v>
      </c>
      <c r="T30" s="110" t="s">
        <v>255</v>
      </c>
      <c r="U30" s="110" t="s">
        <v>255</v>
      </c>
      <c r="V30" s="110" t="s">
        <v>255</v>
      </c>
      <c r="W30" s="110" t="s">
        <v>255</v>
      </c>
      <c r="X30" s="110" t="s">
        <v>255</v>
      </c>
      <c r="Y30" s="110" t="s">
        <v>255</v>
      </c>
      <c r="Z30" s="110" t="s">
        <v>255</v>
      </c>
      <c r="AA30" s="110" t="s">
        <v>255</v>
      </c>
      <c r="AB30" s="110" t="s">
        <v>255</v>
      </c>
      <c r="AC30" s="110" t="s">
        <v>255</v>
      </c>
      <c r="AD30" s="110" t="s">
        <v>255</v>
      </c>
      <c r="AE30" s="110" t="s">
        <v>255</v>
      </c>
      <c r="AF30" s="110" t="s">
        <v>255</v>
      </c>
      <c r="AG30" s="110" t="s">
        <v>255</v>
      </c>
      <c r="AH30" s="110" t="s">
        <v>255</v>
      </c>
      <c r="AI30" s="110" t="s">
        <v>255</v>
      </c>
      <c r="AJ30" s="110" t="s">
        <v>255</v>
      </c>
    </row>
    <row r="31" spans="1:36" x14ac:dyDescent="0.25">
      <c r="A31" s="104" t="s">
        <v>172</v>
      </c>
      <c r="B31" s="109" t="s">
        <v>255</v>
      </c>
      <c r="C31" s="109" t="s">
        <v>255</v>
      </c>
      <c r="D31" s="109" t="s">
        <v>255</v>
      </c>
      <c r="E31" s="109" t="s">
        <v>255</v>
      </c>
      <c r="F31" s="109" t="s">
        <v>255</v>
      </c>
      <c r="G31" s="109" t="s">
        <v>255</v>
      </c>
      <c r="H31" s="109" t="s">
        <v>255</v>
      </c>
      <c r="I31" s="109" t="s">
        <v>255</v>
      </c>
      <c r="J31" s="109" t="s">
        <v>255</v>
      </c>
      <c r="K31" s="109" t="s">
        <v>255</v>
      </c>
      <c r="L31" s="109" t="s">
        <v>255</v>
      </c>
      <c r="M31" s="109" t="s">
        <v>255</v>
      </c>
      <c r="N31" s="109" t="s">
        <v>255</v>
      </c>
      <c r="O31" s="109" t="s">
        <v>255</v>
      </c>
      <c r="P31" s="109" t="s">
        <v>255</v>
      </c>
      <c r="Q31" s="109" t="s">
        <v>255</v>
      </c>
      <c r="R31" s="109" t="s">
        <v>255</v>
      </c>
      <c r="S31" s="109" t="s">
        <v>255</v>
      </c>
      <c r="T31" s="109" t="s">
        <v>255</v>
      </c>
      <c r="U31" s="109" t="s">
        <v>255</v>
      </c>
      <c r="V31" s="109" t="s">
        <v>255</v>
      </c>
      <c r="W31" s="109" t="s">
        <v>255</v>
      </c>
      <c r="X31" s="109" t="s">
        <v>255</v>
      </c>
      <c r="Y31" s="109" t="s">
        <v>255</v>
      </c>
      <c r="Z31" s="109" t="s">
        <v>255</v>
      </c>
      <c r="AA31" s="109" t="s">
        <v>255</v>
      </c>
      <c r="AB31" s="109" t="s">
        <v>255</v>
      </c>
      <c r="AC31" s="109" t="s">
        <v>255</v>
      </c>
      <c r="AD31" s="109" t="s">
        <v>255</v>
      </c>
      <c r="AE31" s="109" t="s">
        <v>255</v>
      </c>
      <c r="AF31" s="109" t="s">
        <v>255</v>
      </c>
      <c r="AG31" s="109" t="s">
        <v>255</v>
      </c>
      <c r="AH31" s="109" t="s">
        <v>255</v>
      </c>
      <c r="AI31" s="109" t="s">
        <v>255</v>
      </c>
      <c r="AJ31" s="109" t="s">
        <v>255</v>
      </c>
    </row>
    <row r="32" spans="1:36" x14ac:dyDescent="0.25">
      <c r="A32" s="104" t="s">
        <v>289</v>
      </c>
      <c r="B32" s="110" t="s">
        <v>255</v>
      </c>
      <c r="C32" s="110" t="s">
        <v>255</v>
      </c>
      <c r="D32" s="110" t="s">
        <v>255</v>
      </c>
      <c r="E32" s="110" t="s">
        <v>255</v>
      </c>
      <c r="F32" s="110" t="s">
        <v>255</v>
      </c>
      <c r="G32" s="110" t="s">
        <v>255</v>
      </c>
      <c r="H32" s="110" t="s">
        <v>255</v>
      </c>
      <c r="I32" s="110" t="s">
        <v>255</v>
      </c>
      <c r="J32" s="110" t="s">
        <v>255</v>
      </c>
      <c r="K32" s="110" t="s">
        <v>255</v>
      </c>
      <c r="L32" s="110" t="s">
        <v>255</v>
      </c>
      <c r="M32" s="110" t="s">
        <v>255</v>
      </c>
      <c r="N32" s="110" t="s">
        <v>255</v>
      </c>
      <c r="O32" s="110" t="s">
        <v>255</v>
      </c>
      <c r="P32" s="110" t="s">
        <v>255</v>
      </c>
      <c r="Q32" s="110" t="s">
        <v>255</v>
      </c>
      <c r="R32" s="110" t="s">
        <v>255</v>
      </c>
      <c r="S32" s="110" t="s">
        <v>255</v>
      </c>
      <c r="T32" s="110" t="s">
        <v>255</v>
      </c>
      <c r="U32" s="110" t="s">
        <v>255</v>
      </c>
      <c r="V32" s="110" t="s">
        <v>255</v>
      </c>
      <c r="W32" s="110" t="s">
        <v>255</v>
      </c>
      <c r="X32" s="110" t="s">
        <v>255</v>
      </c>
      <c r="Y32" s="110" t="s">
        <v>255</v>
      </c>
      <c r="Z32" s="110" t="s">
        <v>255</v>
      </c>
      <c r="AA32" s="110" t="s">
        <v>255</v>
      </c>
      <c r="AB32" s="110" t="s">
        <v>255</v>
      </c>
      <c r="AC32" s="110" t="s">
        <v>255</v>
      </c>
      <c r="AD32" s="110" t="s">
        <v>255</v>
      </c>
      <c r="AE32" s="110" t="s">
        <v>255</v>
      </c>
      <c r="AF32" s="110" t="s">
        <v>255</v>
      </c>
      <c r="AG32" s="110" t="s">
        <v>255</v>
      </c>
      <c r="AH32" s="110" t="s">
        <v>255</v>
      </c>
      <c r="AI32" s="110" t="s">
        <v>255</v>
      </c>
      <c r="AJ32" s="110" t="s">
        <v>255</v>
      </c>
    </row>
    <row r="33" spans="1:36" x14ac:dyDescent="0.25">
      <c r="A33" s="104" t="s">
        <v>173</v>
      </c>
      <c r="B33" s="109" t="s">
        <v>255</v>
      </c>
      <c r="C33" s="109" t="s">
        <v>255</v>
      </c>
      <c r="D33" s="109" t="s">
        <v>255</v>
      </c>
      <c r="E33" s="109" t="s">
        <v>255</v>
      </c>
      <c r="F33" s="109" t="s">
        <v>255</v>
      </c>
      <c r="G33" s="109" t="s">
        <v>255</v>
      </c>
      <c r="H33" s="109" t="s">
        <v>255</v>
      </c>
      <c r="I33" s="109" t="s">
        <v>255</v>
      </c>
      <c r="J33" s="109" t="s">
        <v>255</v>
      </c>
      <c r="K33" s="109" t="s">
        <v>255</v>
      </c>
      <c r="L33" s="109" t="s">
        <v>255</v>
      </c>
      <c r="M33" s="109" t="s">
        <v>255</v>
      </c>
      <c r="N33" s="109" t="s">
        <v>255</v>
      </c>
      <c r="O33" s="109" t="s">
        <v>255</v>
      </c>
      <c r="P33" s="109" t="s">
        <v>255</v>
      </c>
      <c r="Q33" s="109" t="s">
        <v>255</v>
      </c>
      <c r="R33" s="109" t="s">
        <v>255</v>
      </c>
      <c r="S33" s="109" t="s">
        <v>255</v>
      </c>
      <c r="T33" s="109" t="s">
        <v>255</v>
      </c>
      <c r="U33" s="109" t="s">
        <v>255</v>
      </c>
      <c r="V33" s="109" t="s">
        <v>255</v>
      </c>
      <c r="W33" s="109" t="s">
        <v>255</v>
      </c>
      <c r="X33" s="109" t="s">
        <v>255</v>
      </c>
      <c r="Y33" s="109" t="s">
        <v>255</v>
      </c>
      <c r="Z33" s="109" t="s">
        <v>255</v>
      </c>
      <c r="AA33" s="109" t="s">
        <v>255</v>
      </c>
      <c r="AB33" s="109" t="s">
        <v>255</v>
      </c>
      <c r="AC33" s="109" t="s">
        <v>255</v>
      </c>
      <c r="AD33" s="109" t="s">
        <v>255</v>
      </c>
      <c r="AE33" s="109" t="s">
        <v>255</v>
      </c>
      <c r="AF33" s="109" t="s">
        <v>255</v>
      </c>
      <c r="AG33" s="109" t="s">
        <v>255</v>
      </c>
      <c r="AH33" s="109" t="s">
        <v>255</v>
      </c>
      <c r="AI33" s="109" t="s">
        <v>255</v>
      </c>
      <c r="AJ33" s="109" t="s">
        <v>255</v>
      </c>
    </row>
    <row r="34" spans="1:36" x14ac:dyDescent="0.25">
      <c r="A34" s="104" t="s">
        <v>174</v>
      </c>
      <c r="B34" s="106">
        <v>0</v>
      </c>
      <c r="C34" s="106">
        <v>0</v>
      </c>
      <c r="D34" s="106">
        <v>0</v>
      </c>
      <c r="E34" s="106">
        <v>0</v>
      </c>
      <c r="F34" s="106">
        <v>48</v>
      </c>
      <c r="G34" s="106">
        <v>65</v>
      </c>
      <c r="H34" s="106">
        <v>69</v>
      </c>
      <c r="I34" s="106">
        <v>49</v>
      </c>
      <c r="J34" s="106">
        <v>39</v>
      </c>
      <c r="K34" s="106">
        <v>38</v>
      </c>
      <c r="L34" s="106">
        <v>69</v>
      </c>
      <c r="M34" s="106">
        <v>41</v>
      </c>
      <c r="N34" s="106">
        <v>69</v>
      </c>
      <c r="O34" s="106">
        <v>11</v>
      </c>
      <c r="P34" s="106">
        <v>11</v>
      </c>
      <c r="Q34" s="106">
        <v>19</v>
      </c>
      <c r="R34" s="106">
        <v>8</v>
      </c>
      <c r="S34" s="106">
        <v>339</v>
      </c>
      <c r="T34" s="106">
        <v>895</v>
      </c>
      <c r="U34" s="106">
        <v>820</v>
      </c>
      <c r="V34" s="105">
        <v>1395.424</v>
      </c>
      <c r="W34" s="105">
        <v>19634.261999999999</v>
      </c>
      <c r="X34" s="105">
        <v>22777.366999999998</v>
      </c>
      <c r="Y34" s="105">
        <v>17993.984</v>
      </c>
      <c r="Z34" s="105">
        <v>20645.421999999999</v>
      </c>
      <c r="AA34" s="105">
        <v>22089.897000000001</v>
      </c>
      <c r="AB34" s="105">
        <v>20821.366000000002</v>
      </c>
      <c r="AC34" s="105">
        <v>20736.319</v>
      </c>
      <c r="AD34" s="105">
        <v>21207.258000000002</v>
      </c>
      <c r="AE34" s="105">
        <v>21833.929</v>
      </c>
      <c r="AF34" s="105">
        <v>23942.151999999998</v>
      </c>
      <c r="AG34" s="105">
        <v>26914.282999999999</v>
      </c>
      <c r="AH34" s="106">
        <v>25666.42</v>
      </c>
      <c r="AI34" s="105">
        <v>32915.167999999998</v>
      </c>
      <c r="AJ34" s="105">
        <v>32067.137999999999</v>
      </c>
    </row>
    <row r="35" spans="1:36" x14ac:dyDescent="0.25">
      <c r="A35" s="104" t="s">
        <v>175</v>
      </c>
      <c r="B35" s="107">
        <v>7015</v>
      </c>
      <c r="C35" s="107">
        <v>2531</v>
      </c>
      <c r="D35" s="107">
        <v>3486</v>
      </c>
      <c r="E35" s="107">
        <v>3435</v>
      </c>
      <c r="F35" s="107">
        <v>3362</v>
      </c>
      <c r="G35" s="107">
        <v>3757</v>
      </c>
      <c r="H35" s="107">
        <v>4378</v>
      </c>
      <c r="I35" s="107">
        <v>4330</v>
      </c>
      <c r="J35" s="107">
        <v>3505</v>
      </c>
      <c r="K35" s="107">
        <v>3421</v>
      </c>
      <c r="L35" s="107">
        <v>3201</v>
      </c>
      <c r="M35" s="107">
        <v>5543</v>
      </c>
      <c r="N35" s="107">
        <v>5501</v>
      </c>
      <c r="O35" s="107">
        <v>5599</v>
      </c>
      <c r="P35" s="107">
        <v>6539</v>
      </c>
      <c r="Q35" s="107">
        <v>6530</v>
      </c>
      <c r="R35" s="107">
        <v>6559</v>
      </c>
      <c r="S35" s="107">
        <v>6359</v>
      </c>
      <c r="T35" s="107">
        <v>6311</v>
      </c>
      <c r="U35" s="107">
        <v>6672</v>
      </c>
      <c r="V35" s="107">
        <v>5006</v>
      </c>
      <c r="W35" s="107">
        <v>4563</v>
      </c>
      <c r="X35" s="107">
        <v>4566</v>
      </c>
      <c r="Y35" s="107">
        <v>4205</v>
      </c>
      <c r="Z35" s="107">
        <v>4048</v>
      </c>
      <c r="AA35" s="107">
        <v>4104</v>
      </c>
      <c r="AB35" s="107">
        <v>4120</v>
      </c>
      <c r="AC35" s="108">
        <v>4337.2039999999997</v>
      </c>
      <c r="AD35" s="108">
        <v>4119.0659999999998</v>
      </c>
      <c r="AE35" s="108">
        <v>3979.9720000000002</v>
      </c>
      <c r="AF35" s="108">
        <v>3686.2710000000002</v>
      </c>
      <c r="AG35" s="108">
        <v>3913.2440000000001</v>
      </c>
      <c r="AH35" s="108">
        <v>3687.7890000000002</v>
      </c>
      <c r="AI35" s="108">
        <v>3789.413</v>
      </c>
      <c r="AJ35" s="108">
        <v>4149.9309999999996</v>
      </c>
    </row>
    <row r="36" spans="1:36" x14ac:dyDescent="0.25">
      <c r="A36" s="104" t="s">
        <v>176</v>
      </c>
      <c r="B36" s="106">
        <v>141</v>
      </c>
      <c r="C36" s="106">
        <v>53</v>
      </c>
      <c r="D36" s="106">
        <v>20581</v>
      </c>
      <c r="E36" s="106">
        <v>17836</v>
      </c>
      <c r="F36" s="106">
        <v>9726</v>
      </c>
      <c r="G36" s="106">
        <v>12028</v>
      </c>
      <c r="H36" s="106">
        <v>6504</v>
      </c>
      <c r="I36" s="106">
        <v>8111</v>
      </c>
      <c r="J36" s="106">
        <v>6062</v>
      </c>
      <c r="K36" s="106">
        <v>5711</v>
      </c>
      <c r="L36" s="106">
        <v>7651</v>
      </c>
      <c r="M36" s="106">
        <v>6339</v>
      </c>
      <c r="N36" s="106">
        <v>4901</v>
      </c>
      <c r="O36" s="106">
        <v>1974</v>
      </c>
      <c r="P36" s="106">
        <v>1402</v>
      </c>
      <c r="Q36" s="106">
        <v>1269</v>
      </c>
      <c r="R36" s="106">
        <v>1077</v>
      </c>
      <c r="S36" s="106">
        <v>1054</v>
      </c>
      <c r="T36" s="106">
        <v>749</v>
      </c>
      <c r="U36" s="106">
        <v>929</v>
      </c>
      <c r="V36" s="106">
        <v>857</v>
      </c>
      <c r="W36" s="105">
        <v>823.27200000000005</v>
      </c>
      <c r="X36" s="105">
        <v>1680.627</v>
      </c>
      <c r="Y36" s="106">
        <v>1555.05</v>
      </c>
      <c r="Z36" s="106">
        <v>1453.72</v>
      </c>
      <c r="AA36" s="105">
        <v>2043.809</v>
      </c>
      <c r="AB36" s="105">
        <v>1719.1210000000001</v>
      </c>
      <c r="AC36" s="105">
        <v>1929.4580000000001</v>
      </c>
      <c r="AD36" s="105">
        <v>1953.529</v>
      </c>
      <c r="AE36" s="106">
        <v>2397.61</v>
      </c>
      <c r="AF36" s="105">
        <v>4334.8469999999998</v>
      </c>
      <c r="AG36" s="105">
        <v>4640.442</v>
      </c>
      <c r="AH36" s="105">
        <v>5115.2280000000001</v>
      </c>
      <c r="AI36" s="105">
        <v>11992.865</v>
      </c>
      <c r="AJ36" s="105">
        <v>14160.004999999999</v>
      </c>
    </row>
    <row r="37" spans="1:36" x14ac:dyDescent="0.25">
      <c r="A37" s="104" t="s">
        <v>177</v>
      </c>
      <c r="B37" s="107">
        <v>3553</v>
      </c>
      <c r="C37" s="107">
        <v>3383</v>
      </c>
      <c r="D37" s="107">
        <v>3773</v>
      </c>
      <c r="E37" s="107">
        <v>1945</v>
      </c>
      <c r="F37" s="107">
        <v>1504</v>
      </c>
      <c r="G37" s="107">
        <v>2507</v>
      </c>
      <c r="H37" s="107">
        <v>3499</v>
      </c>
      <c r="I37" s="107">
        <v>3819</v>
      </c>
      <c r="J37" s="107">
        <v>4815</v>
      </c>
      <c r="K37" s="107">
        <v>5050</v>
      </c>
      <c r="L37" s="107">
        <v>8640</v>
      </c>
      <c r="M37" s="107">
        <v>7587</v>
      </c>
      <c r="N37" s="107">
        <v>10226</v>
      </c>
      <c r="O37" s="107">
        <v>10984</v>
      </c>
      <c r="P37" s="107">
        <v>15660.2</v>
      </c>
      <c r="Q37" s="108">
        <v>16839.902999999998</v>
      </c>
      <c r="R37" s="108">
        <v>17487.260999999999</v>
      </c>
      <c r="S37" s="108">
        <v>19323.699000000001</v>
      </c>
      <c r="T37" s="107">
        <v>23193.93</v>
      </c>
      <c r="U37" s="108">
        <v>20342.704000000002</v>
      </c>
      <c r="V37" s="108">
        <v>23352.761999999999</v>
      </c>
      <c r="W37" s="108">
        <v>23654.761999999999</v>
      </c>
      <c r="X37" s="108">
        <v>24913.960999999999</v>
      </c>
      <c r="Y37" s="108">
        <v>26861.678</v>
      </c>
      <c r="Z37" s="108">
        <v>28478.919000000002</v>
      </c>
      <c r="AA37" s="108">
        <v>31929.811000000002</v>
      </c>
      <c r="AB37" s="107">
        <v>35454.11</v>
      </c>
      <c r="AC37" s="108">
        <v>38513.642</v>
      </c>
      <c r="AD37" s="108">
        <v>37147.841</v>
      </c>
      <c r="AE37" s="108">
        <v>38037.057999999997</v>
      </c>
      <c r="AF37" s="108">
        <v>38338.228000000003</v>
      </c>
      <c r="AG37" s="108">
        <v>38029.612999999998</v>
      </c>
      <c r="AH37" s="108">
        <v>31343.165000000001</v>
      </c>
      <c r="AI37" s="108">
        <v>25354.034</v>
      </c>
      <c r="AJ37" s="108">
        <v>33115.665999999997</v>
      </c>
    </row>
    <row r="38" spans="1:36" x14ac:dyDescent="0.25">
      <c r="A38" s="104" t="s">
        <v>178</v>
      </c>
      <c r="B38" s="106">
        <v>1458</v>
      </c>
      <c r="C38" s="106">
        <v>878</v>
      </c>
      <c r="D38" s="106">
        <v>709</v>
      </c>
      <c r="E38" s="106">
        <v>0</v>
      </c>
      <c r="F38" s="106">
        <v>2854</v>
      </c>
      <c r="G38" s="106">
        <v>2758</v>
      </c>
      <c r="H38" s="106">
        <v>3050</v>
      </c>
      <c r="I38" s="106">
        <v>7256</v>
      </c>
      <c r="J38" s="106">
        <v>8328</v>
      </c>
      <c r="K38" s="106">
        <v>8552</v>
      </c>
      <c r="L38" s="106">
        <v>9718</v>
      </c>
      <c r="M38" s="106">
        <v>12770</v>
      </c>
      <c r="N38" s="106">
        <v>12557</v>
      </c>
      <c r="O38" s="106">
        <v>19646</v>
      </c>
      <c r="P38" s="106">
        <v>21493</v>
      </c>
      <c r="Q38" s="106">
        <v>18526</v>
      </c>
      <c r="R38" s="106">
        <v>18652</v>
      </c>
      <c r="S38" s="106">
        <v>21891</v>
      </c>
      <c r="T38" s="106">
        <v>20097</v>
      </c>
      <c r="U38" s="106">
        <v>21521</v>
      </c>
      <c r="V38" s="106">
        <v>28173</v>
      </c>
      <c r="W38" s="105">
        <v>31385.929</v>
      </c>
      <c r="X38" s="105">
        <v>32812.428999999996</v>
      </c>
      <c r="Y38" s="105">
        <v>37720.661999999997</v>
      </c>
      <c r="Z38" s="105">
        <v>35966.826999999997</v>
      </c>
      <c r="AA38" s="105">
        <v>42347.347000000002</v>
      </c>
      <c r="AB38" s="105">
        <v>42926.398999999998</v>
      </c>
      <c r="AC38" s="105">
        <v>52230.173999999999</v>
      </c>
      <c r="AD38" s="106">
        <v>48653.07</v>
      </c>
      <c r="AE38" s="105">
        <v>51422.605000000003</v>
      </c>
      <c r="AF38" s="105">
        <v>53992.014999999999</v>
      </c>
      <c r="AG38" s="105">
        <v>60491.374000000003</v>
      </c>
      <c r="AH38" s="105">
        <v>53841.296000000002</v>
      </c>
      <c r="AI38" s="105">
        <v>79787.737999999998</v>
      </c>
      <c r="AJ38" s="105">
        <v>84196.493000000002</v>
      </c>
    </row>
    <row r="39" spans="1:36" ht="11.5" customHeigh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1:36" ht="14.5" x14ac:dyDescent="0.35">
      <c r="A40" s="101" t="s">
        <v>69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1:36" ht="13" x14ac:dyDescent="0.25">
      <c r="A41" s="3" t="s">
        <v>255</v>
      </c>
      <c r="B41" s="2" t="s">
        <v>70</v>
      </c>
    </row>
    <row r="42" spans="1:36" ht="11.5" customHeight="1" x14ac:dyDescent="0.25"/>
    <row r="43" spans="1:36" ht="11.5" customHeight="1" x14ac:dyDescent="0.25"/>
    <row r="45" spans="1:36" x14ac:dyDescent="0.25">
      <c r="A45" s="15" t="s">
        <v>259</v>
      </c>
    </row>
    <row r="46" spans="1:36" x14ac:dyDescent="0.25">
      <c r="A46" s="16" t="s">
        <v>182</v>
      </c>
    </row>
    <row r="48" spans="1:36" ht="14.5" x14ac:dyDescent="0.35">
      <c r="A48" s="100" t="s">
        <v>298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 spans="1:36" ht="14.5" x14ac:dyDescent="0.35">
      <c r="A49" s="100" t="s">
        <v>1</v>
      </c>
      <c r="B49" s="101" t="s">
        <v>299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</row>
    <row r="50" spans="1:36" ht="14.5" x14ac:dyDescent="0.35">
      <c r="A50" s="100" t="s">
        <v>2</v>
      </c>
      <c r="B50" s="100" t="s">
        <v>284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</row>
    <row r="51" spans="1:36" ht="14.5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</row>
    <row r="52" spans="1:36" ht="14.5" x14ac:dyDescent="0.35">
      <c r="A52" s="101" t="s">
        <v>3</v>
      </c>
      <c r="B52"/>
      <c r="C52" s="100" t="s">
        <v>4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 spans="1:36" ht="14.5" x14ac:dyDescent="0.35">
      <c r="A53" s="101" t="s">
        <v>153</v>
      </c>
      <c r="B53"/>
      <c r="C53" s="100" t="s">
        <v>154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ht="14.5" x14ac:dyDescent="0.35">
      <c r="A54" s="101" t="s">
        <v>155</v>
      </c>
      <c r="B54"/>
      <c r="C54" s="100" t="s">
        <v>154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</row>
    <row r="55" spans="1:36" ht="14.5" x14ac:dyDescent="0.35">
      <c r="A55" s="101" t="s">
        <v>115</v>
      </c>
      <c r="B55"/>
      <c r="C55" s="100" t="s">
        <v>179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</row>
    <row r="56" spans="1:36" ht="14.5" x14ac:dyDescent="0.35">
      <c r="A56" s="101" t="s">
        <v>5</v>
      </c>
      <c r="B56"/>
      <c r="C56" s="100" t="s">
        <v>180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</row>
    <row r="57" spans="1:36" ht="14.5" x14ac:dyDescent="0.35">
      <c r="A57" s="101" t="s">
        <v>7</v>
      </c>
      <c r="B57"/>
      <c r="C57" s="100" t="s">
        <v>8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</row>
    <row r="58" spans="1:36" ht="14.5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</row>
    <row r="59" spans="1:36" x14ac:dyDescent="0.25">
      <c r="A59" s="111" t="s">
        <v>9</v>
      </c>
      <c r="B59" s="102" t="s">
        <v>10</v>
      </c>
      <c r="C59" s="102" t="s">
        <v>11</v>
      </c>
      <c r="D59" s="102" t="s">
        <v>12</v>
      </c>
      <c r="E59" s="102" t="s">
        <v>13</v>
      </c>
      <c r="F59" s="102" t="s">
        <v>14</v>
      </c>
      <c r="G59" s="102" t="s">
        <v>15</v>
      </c>
      <c r="H59" s="102" t="s">
        <v>16</v>
      </c>
      <c r="I59" s="102" t="s">
        <v>17</v>
      </c>
      <c r="J59" s="102" t="s">
        <v>18</v>
      </c>
      <c r="K59" s="102" t="s">
        <v>19</v>
      </c>
      <c r="L59" s="102" t="s">
        <v>20</v>
      </c>
      <c r="M59" s="102" t="s">
        <v>21</v>
      </c>
      <c r="N59" s="102" t="s">
        <v>22</v>
      </c>
      <c r="O59" s="102" t="s">
        <v>23</v>
      </c>
      <c r="P59" s="102" t="s">
        <v>24</v>
      </c>
      <c r="Q59" s="102" t="s">
        <v>25</v>
      </c>
      <c r="R59" s="102" t="s">
        <v>26</v>
      </c>
      <c r="S59" s="102" t="s">
        <v>27</v>
      </c>
      <c r="T59" s="102" t="s">
        <v>28</v>
      </c>
      <c r="U59" s="102" t="s">
        <v>29</v>
      </c>
      <c r="V59" s="102" t="s">
        <v>30</v>
      </c>
      <c r="W59" s="102" t="s">
        <v>31</v>
      </c>
      <c r="X59" s="102" t="s">
        <v>32</v>
      </c>
      <c r="Y59" s="102" t="s">
        <v>33</v>
      </c>
      <c r="Z59" s="102" t="s">
        <v>34</v>
      </c>
      <c r="AA59" s="102" t="s">
        <v>35</v>
      </c>
      <c r="AB59" s="102" t="s">
        <v>36</v>
      </c>
      <c r="AC59" s="102" t="s">
        <v>37</v>
      </c>
      <c r="AD59" s="102" t="s">
        <v>38</v>
      </c>
      <c r="AE59" s="102" t="s">
        <v>39</v>
      </c>
      <c r="AF59" s="102" t="s">
        <v>40</v>
      </c>
      <c r="AG59" s="102" t="s">
        <v>41</v>
      </c>
      <c r="AH59" s="102" t="s">
        <v>42</v>
      </c>
      <c r="AI59" s="102" t="s">
        <v>254</v>
      </c>
      <c r="AJ59" s="102" t="s">
        <v>285</v>
      </c>
    </row>
    <row r="60" spans="1:36" ht="14.5" x14ac:dyDescent="0.35">
      <c r="A60" s="103" t="s">
        <v>43</v>
      </c>
      <c r="B60" s="88" t="s">
        <v>45</v>
      </c>
      <c r="C60" s="88" t="s">
        <v>45</v>
      </c>
      <c r="D60" s="88" t="s">
        <v>45</v>
      </c>
      <c r="E60" s="88" t="s">
        <v>45</v>
      </c>
      <c r="F60" s="88" t="s">
        <v>45</v>
      </c>
      <c r="G60" s="88" t="s">
        <v>45</v>
      </c>
      <c r="H60" s="88" t="s">
        <v>45</v>
      </c>
      <c r="I60" s="88" t="s">
        <v>45</v>
      </c>
      <c r="J60" s="88" t="s">
        <v>45</v>
      </c>
      <c r="K60" s="88" t="s">
        <v>45</v>
      </c>
      <c r="L60" s="88" t="s">
        <v>45</v>
      </c>
      <c r="M60" s="88" t="s">
        <v>45</v>
      </c>
      <c r="N60" s="88" t="s">
        <v>45</v>
      </c>
      <c r="O60" s="88" t="s">
        <v>45</v>
      </c>
      <c r="P60" s="88" t="s">
        <v>45</v>
      </c>
      <c r="Q60" s="88" t="s">
        <v>45</v>
      </c>
      <c r="R60" s="88" t="s">
        <v>45</v>
      </c>
      <c r="S60" s="88" t="s">
        <v>45</v>
      </c>
      <c r="T60" s="88" t="s">
        <v>45</v>
      </c>
      <c r="U60" s="88" t="s">
        <v>45</v>
      </c>
      <c r="V60" s="88" t="s">
        <v>45</v>
      </c>
      <c r="W60" s="88" t="s">
        <v>45</v>
      </c>
      <c r="X60" s="88" t="s">
        <v>45</v>
      </c>
      <c r="Y60" s="88" t="s">
        <v>45</v>
      </c>
      <c r="Z60" s="88" t="s">
        <v>45</v>
      </c>
      <c r="AA60" s="88" t="s">
        <v>45</v>
      </c>
      <c r="AB60" s="88" t="s">
        <v>45</v>
      </c>
      <c r="AC60" s="88" t="s">
        <v>45</v>
      </c>
      <c r="AD60" s="88" t="s">
        <v>45</v>
      </c>
      <c r="AE60" s="88" t="s">
        <v>45</v>
      </c>
      <c r="AF60" s="88" t="s">
        <v>45</v>
      </c>
      <c r="AG60" s="88" t="s">
        <v>45</v>
      </c>
      <c r="AH60" s="88" t="s">
        <v>45</v>
      </c>
      <c r="AI60" s="88" t="s">
        <v>45</v>
      </c>
      <c r="AJ60" s="88" t="s">
        <v>45</v>
      </c>
    </row>
    <row r="61" spans="1:36" x14ac:dyDescent="0.25">
      <c r="A61" s="104" t="s">
        <v>55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76</v>
      </c>
      <c r="M61" s="107">
        <v>0</v>
      </c>
      <c r="N61" s="107">
        <v>0</v>
      </c>
      <c r="O61" s="107">
        <v>4149</v>
      </c>
      <c r="P61" s="107">
        <v>5320</v>
      </c>
      <c r="Q61" s="107">
        <v>4923</v>
      </c>
      <c r="R61" s="107">
        <v>5610</v>
      </c>
      <c r="S61" s="107">
        <v>3637</v>
      </c>
      <c r="T61" s="107">
        <v>5471</v>
      </c>
      <c r="U61" s="107">
        <v>17461</v>
      </c>
      <c r="V61" s="107">
        <v>16940</v>
      </c>
      <c r="W61" s="107">
        <v>20767</v>
      </c>
      <c r="X61" s="107">
        <v>18030</v>
      </c>
      <c r="Y61" s="107">
        <v>17124</v>
      </c>
      <c r="Z61" s="107">
        <v>24717</v>
      </c>
      <c r="AA61" s="107">
        <v>8527</v>
      </c>
      <c r="AB61" s="107">
        <v>3108</v>
      </c>
      <c r="AC61" s="108">
        <v>3384.558</v>
      </c>
      <c r="AD61" s="107">
        <v>5096</v>
      </c>
      <c r="AE61" s="107">
        <v>1915</v>
      </c>
      <c r="AF61" s="107">
        <v>1915</v>
      </c>
      <c r="AG61" s="108">
        <v>1635.6179999999999</v>
      </c>
      <c r="AH61" s="108">
        <v>1089.4469999999999</v>
      </c>
      <c r="AI61" s="108">
        <v>761.97400000000005</v>
      </c>
      <c r="AJ61" s="108">
        <v>533.06299999999999</v>
      </c>
    </row>
    <row r="62" spans="1:36" x14ac:dyDescent="0.25">
      <c r="A62" s="104" t="s">
        <v>56</v>
      </c>
      <c r="B62" s="106">
        <v>0</v>
      </c>
      <c r="C62" s="106">
        <v>0</v>
      </c>
      <c r="D62" s="106">
        <v>0</v>
      </c>
      <c r="E62" s="106">
        <v>0</v>
      </c>
      <c r="F62" s="106">
        <v>0</v>
      </c>
      <c r="G62" s="106">
        <v>0</v>
      </c>
      <c r="H62" s="106">
        <v>132</v>
      </c>
      <c r="I62" s="106">
        <v>1107</v>
      </c>
      <c r="J62" s="106">
        <v>895</v>
      </c>
      <c r="K62" s="106">
        <v>1189</v>
      </c>
      <c r="L62" s="106">
        <v>1352</v>
      </c>
      <c r="M62" s="106">
        <v>1350</v>
      </c>
      <c r="N62" s="106">
        <v>986</v>
      </c>
      <c r="O62" s="106">
        <v>38355</v>
      </c>
      <c r="P62" s="106">
        <v>42295</v>
      </c>
      <c r="Q62" s="106">
        <v>36653</v>
      </c>
      <c r="R62" s="106">
        <v>31573</v>
      </c>
      <c r="S62" s="106">
        <v>33383</v>
      </c>
      <c r="T62" s="106">
        <v>30483</v>
      </c>
      <c r="U62" s="106">
        <v>24136</v>
      </c>
      <c r="V62" s="106">
        <v>19318</v>
      </c>
      <c r="W62" s="106">
        <v>20161</v>
      </c>
      <c r="X62" s="106">
        <v>26285</v>
      </c>
      <c r="Y62" s="106">
        <v>6743</v>
      </c>
      <c r="Z62" s="106">
        <v>10230</v>
      </c>
      <c r="AA62" s="106">
        <v>2021</v>
      </c>
      <c r="AB62" s="106">
        <v>9075</v>
      </c>
      <c r="AC62" s="105">
        <v>13150.182000000001</v>
      </c>
      <c r="AD62" s="105">
        <v>12431.302</v>
      </c>
      <c r="AE62" s="105">
        <v>1003.177</v>
      </c>
      <c r="AF62" s="105">
        <v>1110.7249999999999</v>
      </c>
      <c r="AG62" s="105">
        <v>1272.2449999999999</v>
      </c>
      <c r="AH62" s="105">
        <v>3515.2069999999999</v>
      </c>
      <c r="AI62" s="105">
        <v>7601.6130000000003</v>
      </c>
      <c r="AJ62" s="105">
        <v>6133.5870000000004</v>
      </c>
    </row>
    <row r="63" spans="1:36" x14ac:dyDescent="0.25">
      <c r="A63" s="104" t="s">
        <v>57</v>
      </c>
      <c r="B63" s="107">
        <v>915107</v>
      </c>
      <c r="C63" s="107">
        <v>959365</v>
      </c>
      <c r="D63" s="107">
        <v>902456</v>
      </c>
      <c r="E63" s="107">
        <v>851089</v>
      </c>
      <c r="F63" s="107">
        <v>788079</v>
      </c>
      <c r="G63" s="107">
        <v>681373</v>
      </c>
      <c r="H63" s="107">
        <v>725532</v>
      </c>
      <c r="I63" s="107">
        <v>660049</v>
      </c>
      <c r="J63" s="107">
        <v>608046</v>
      </c>
      <c r="K63" s="107">
        <v>576554</v>
      </c>
      <c r="L63" s="107">
        <v>525437</v>
      </c>
      <c r="M63" s="107">
        <v>566724</v>
      </c>
      <c r="N63" s="107">
        <v>532304</v>
      </c>
      <c r="O63" s="107">
        <v>567216</v>
      </c>
      <c r="P63" s="107">
        <v>555259</v>
      </c>
      <c r="Q63" s="108">
        <v>535202.29599999997</v>
      </c>
      <c r="R63" s="107">
        <v>542935.16</v>
      </c>
      <c r="S63" s="108">
        <v>510736.45500000002</v>
      </c>
      <c r="T63" s="107">
        <v>503114.5</v>
      </c>
      <c r="U63" s="108">
        <v>485340.70199999999</v>
      </c>
      <c r="V63" s="108">
        <v>525097.26800000004</v>
      </c>
      <c r="W63" s="108">
        <v>457034.489</v>
      </c>
      <c r="X63" s="108">
        <v>454089.05599999998</v>
      </c>
      <c r="Y63" s="108">
        <v>480133.03600000002</v>
      </c>
      <c r="Z63" s="108">
        <v>412948.67800000001</v>
      </c>
      <c r="AA63" s="108">
        <v>430430.68400000001</v>
      </c>
      <c r="AB63" s="108">
        <v>436525.04399999999</v>
      </c>
      <c r="AC63" s="108">
        <v>414406.02500000002</v>
      </c>
      <c r="AD63" s="108">
        <v>397261.46299999999</v>
      </c>
      <c r="AE63" s="108">
        <v>377280.63500000001</v>
      </c>
      <c r="AF63" s="108">
        <v>319923.56199999998</v>
      </c>
      <c r="AG63" s="108">
        <v>344334.38099999999</v>
      </c>
      <c r="AH63" s="108">
        <v>321149.33100000001</v>
      </c>
      <c r="AI63" s="108">
        <v>263101.76899999997</v>
      </c>
      <c r="AJ63" s="108">
        <v>237672.84400000001</v>
      </c>
    </row>
    <row r="64" spans="1:36" x14ac:dyDescent="0.25">
      <c r="A64" s="104" t="s">
        <v>59</v>
      </c>
      <c r="B64" s="106">
        <v>478</v>
      </c>
      <c r="C64" s="106">
        <v>4441</v>
      </c>
      <c r="D64" s="106">
        <v>4627</v>
      </c>
      <c r="E64" s="106">
        <v>3823</v>
      </c>
      <c r="F64" s="106">
        <v>3667</v>
      </c>
      <c r="G64" s="106">
        <v>5232</v>
      </c>
      <c r="H64" s="106">
        <v>8008</v>
      </c>
      <c r="I64" s="106">
        <v>6823</v>
      </c>
      <c r="J64" s="106">
        <v>5731</v>
      </c>
      <c r="K64" s="106">
        <v>3642</v>
      </c>
      <c r="L64" s="106">
        <v>4573</v>
      </c>
      <c r="M64" s="106">
        <v>4779</v>
      </c>
      <c r="N64" s="106">
        <v>4292</v>
      </c>
      <c r="O64" s="106">
        <v>4613</v>
      </c>
      <c r="P64" s="106">
        <v>8570</v>
      </c>
      <c r="Q64" s="106">
        <v>11116</v>
      </c>
      <c r="R64" s="106">
        <v>10256</v>
      </c>
      <c r="S64" s="106">
        <v>10378</v>
      </c>
      <c r="T64" s="106">
        <v>11312</v>
      </c>
      <c r="U64" s="106">
        <v>8943</v>
      </c>
      <c r="V64" s="106">
        <v>7116</v>
      </c>
      <c r="W64" s="106">
        <v>9088</v>
      </c>
      <c r="X64" s="106">
        <v>10909</v>
      </c>
      <c r="Y64" s="106">
        <v>8472</v>
      </c>
      <c r="Z64" s="106">
        <v>6497</v>
      </c>
      <c r="AA64" s="106">
        <v>5290</v>
      </c>
      <c r="AB64" s="106">
        <v>5257</v>
      </c>
      <c r="AC64" s="105">
        <v>5001.7309999999998</v>
      </c>
      <c r="AD64" s="105">
        <v>5245.9059999999999</v>
      </c>
      <c r="AE64" s="106">
        <v>4442.68</v>
      </c>
      <c r="AF64" s="106">
        <v>4096.01</v>
      </c>
      <c r="AG64" s="105">
        <v>4211.5209999999997</v>
      </c>
      <c r="AH64" s="105">
        <v>3991.1729999999998</v>
      </c>
      <c r="AI64" s="105">
        <v>2757.2269999999999</v>
      </c>
      <c r="AJ64" s="106">
        <v>1406.16</v>
      </c>
    </row>
    <row r="65" spans="1:36" x14ac:dyDescent="0.25">
      <c r="A65" s="104" t="s">
        <v>60</v>
      </c>
      <c r="B65" s="107">
        <v>433014</v>
      </c>
      <c r="C65" s="107">
        <v>333913</v>
      </c>
      <c r="D65" s="107">
        <v>285661</v>
      </c>
      <c r="E65" s="107">
        <v>271396</v>
      </c>
      <c r="F65" s="107">
        <v>236752</v>
      </c>
      <c r="G65" s="107">
        <v>246406</v>
      </c>
      <c r="H65" s="107">
        <v>264341</v>
      </c>
      <c r="I65" s="107">
        <v>274227</v>
      </c>
      <c r="J65" s="107">
        <v>241471</v>
      </c>
      <c r="K65" s="107">
        <v>222474</v>
      </c>
      <c r="L65" s="107">
        <v>215505</v>
      </c>
      <c r="M65" s="107">
        <v>167453</v>
      </c>
      <c r="N65" s="107">
        <v>146170</v>
      </c>
      <c r="O65" s="107">
        <v>162078</v>
      </c>
      <c r="P65" s="107">
        <v>144819</v>
      </c>
      <c r="Q65" s="108">
        <v>142288.54199999999</v>
      </c>
      <c r="R65" s="108">
        <v>138597.12599999999</v>
      </c>
      <c r="S65" s="107">
        <v>138333</v>
      </c>
      <c r="T65" s="107">
        <v>137849</v>
      </c>
      <c r="U65" s="107">
        <v>129503</v>
      </c>
      <c r="V65" s="107">
        <v>147850</v>
      </c>
      <c r="W65" s="107">
        <v>137816</v>
      </c>
      <c r="X65" s="107">
        <v>135355</v>
      </c>
      <c r="Y65" s="107">
        <v>139281</v>
      </c>
      <c r="Z65" s="107">
        <v>123042</v>
      </c>
      <c r="AA65" s="107">
        <v>126543</v>
      </c>
      <c r="AB65" s="107">
        <v>120492</v>
      </c>
      <c r="AC65" s="108">
        <v>114980.617</v>
      </c>
      <c r="AD65" s="108">
        <v>101910.125</v>
      </c>
      <c r="AE65" s="107">
        <v>94725.94</v>
      </c>
      <c r="AF65" s="107">
        <v>87994.49</v>
      </c>
      <c r="AG65" s="108">
        <v>91908.351999999999</v>
      </c>
      <c r="AH65" s="108">
        <v>86900.517000000007</v>
      </c>
      <c r="AI65" s="108">
        <v>75398.298999999999</v>
      </c>
      <c r="AJ65" s="108">
        <v>67461.106</v>
      </c>
    </row>
    <row r="66" spans="1:36" x14ac:dyDescent="0.25">
      <c r="A66" s="104" t="s">
        <v>61</v>
      </c>
      <c r="B66" s="106">
        <v>13418</v>
      </c>
      <c r="C66" s="106">
        <v>8847</v>
      </c>
      <c r="D66" s="106">
        <v>7488</v>
      </c>
      <c r="E66" s="106">
        <v>6498</v>
      </c>
      <c r="F66" s="106">
        <v>5757</v>
      </c>
      <c r="G66" s="106">
        <v>5193</v>
      </c>
      <c r="H66" s="106">
        <v>5214</v>
      </c>
      <c r="I66" s="106">
        <v>4038</v>
      </c>
      <c r="J66" s="106">
        <v>3131</v>
      </c>
      <c r="K66" s="106">
        <v>2250</v>
      </c>
      <c r="L66" s="106">
        <v>1566</v>
      </c>
      <c r="M66" s="106">
        <v>1357</v>
      </c>
      <c r="N66" s="106">
        <v>942</v>
      </c>
      <c r="O66" s="106">
        <v>834</v>
      </c>
      <c r="P66" s="106">
        <v>510</v>
      </c>
      <c r="Q66" s="106">
        <v>355</v>
      </c>
      <c r="R66" s="106">
        <v>209</v>
      </c>
      <c r="S66" s="106">
        <v>438</v>
      </c>
      <c r="T66" s="106">
        <v>369</v>
      </c>
      <c r="U66" s="106">
        <v>312</v>
      </c>
      <c r="V66" s="106">
        <v>303</v>
      </c>
      <c r="W66" s="106">
        <v>193</v>
      </c>
      <c r="X66" s="106">
        <v>100</v>
      </c>
      <c r="Y66" s="106">
        <v>59</v>
      </c>
      <c r="Z66" s="106">
        <v>76</v>
      </c>
      <c r="AA66" s="106">
        <v>31</v>
      </c>
      <c r="AB66" s="106">
        <v>11</v>
      </c>
      <c r="AC66" s="105">
        <v>21.010999999999999</v>
      </c>
      <c r="AD66" s="105">
        <v>36.808</v>
      </c>
      <c r="AE66" s="105">
        <v>29.157</v>
      </c>
      <c r="AF66" s="106">
        <v>23.28</v>
      </c>
      <c r="AG66" s="105">
        <v>41.465000000000003</v>
      </c>
      <c r="AH66" s="105">
        <v>39.642000000000003</v>
      </c>
      <c r="AI66" s="106">
        <v>19</v>
      </c>
      <c r="AJ66" s="105">
        <v>24.437000000000001</v>
      </c>
    </row>
    <row r="67" spans="1:36" x14ac:dyDescent="0.25">
      <c r="A67" s="104" t="s">
        <v>62</v>
      </c>
      <c r="B67" s="107">
        <v>0</v>
      </c>
      <c r="C67" s="107">
        <v>0</v>
      </c>
      <c r="D67" s="107">
        <v>0</v>
      </c>
      <c r="E67" s="107">
        <v>0</v>
      </c>
      <c r="F67" s="107">
        <v>0</v>
      </c>
      <c r="G67" s="107">
        <v>0</v>
      </c>
      <c r="H67" s="107">
        <v>0</v>
      </c>
      <c r="I67" s="107">
        <v>0</v>
      </c>
      <c r="J67" s="107">
        <v>0</v>
      </c>
      <c r="K67" s="107">
        <v>0</v>
      </c>
      <c r="L67" s="107">
        <v>0</v>
      </c>
      <c r="M67" s="107">
        <v>0</v>
      </c>
      <c r="N67" s="107">
        <v>0</v>
      </c>
      <c r="O67" s="107">
        <v>0</v>
      </c>
      <c r="P67" s="107">
        <v>0</v>
      </c>
      <c r="Q67" s="107">
        <v>0</v>
      </c>
      <c r="R67" s="107">
        <v>0</v>
      </c>
      <c r="S67" s="107">
        <v>0</v>
      </c>
      <c r="T67" s="107">
        <v>0</v>
      </c>
      <c r="U67" s="107">
        <v>0</v>
      </c>
      <c r="V67" s="107">
        <v>0</v>
      </c>
      <c r="W67" s="107">
        <v>0</v>
      </c>
      <c r="X67" s="107">
        <v>0</v>
      </c>
      <c r="Y67" s="107">
        <v>0</v>
      </c>
      <c r="Z67" s="107">
        <v>0</v>
      </c>
      <c r="AA67" s="107">
        <v>0</v>
      </c>
      <c r="AB67" s="107">
        <v>0</v>
      </c>
      <c r="AC67" s="107">
        <v>0</v>
      </c>
      <c r="AD67" s="107">
        <v>0</v>
      </c>
      <c r="AE67" s="107">
        <v>0</v>
      </c>
      <c r="AF67" s="107">
        <v>0</v>
      </c>
      <c r="AG67" s="107">
        <v>0</v>
      </c>
      <c r="AH67" s="107">
        <v>0</v>
      </c>
      <c r="AI67" s="107">
        <v>0</v>
      </c>
      <c r="AJ67" s="107">
        <v>0</v>
      </c>
    </row>
    <row r="68" spans="1:36" x14ac:dyDescent="0.25">
      <c r="A68" s="104" t="s">
        <v>63</v>
      </c>
      <c r="B68" s="106">
        <v>1433</v>
      </c>
      <c r="C68" s="106">
        <v>178</v>
      </c>
      <c r="D68" s="106">
        <v>62</v>
      </c>
      <c r="E68" s="106">
        <v>35</v>
      </c>
      <c r="F68" s="106">
        <v>31</v>
      </c>
      <c r="G68" s="106">
        <v>0</v>
      </c>
      <c r="H68" s="106">
        <v>0</v>
      </c>
      <c r="I68" s="106">
        <v>43</v>
      </c>
      <c r="J68" s="106">
        <v>0</v>
      </c>
      <c r="K68" s="106">
        <v>0</v>
      </c>
      <c r="L68" s="106">
        <v>0</v>
      </c>
      <c r="M68" s="106">
        <v>0</v>
      </c>
      <c r="N68" s="106">
        <v>1</v>
      </c>
      <c r="O68" s="106">
        <v>0</v>
      </c>
      <c r="P68" s="106">
        <v>0</v>
      </c>
      <c r="Q68" s="106">
        <v>0</v>
      </c>
      <c r="R68" s="106">
        <v>0</v>
      </c>
      <c r="S68" s="106">
        <v>0</v>
      </c>
      <c r="T68" s="106">
        <v>145</v>
      </c>
      <c r="U68" s="106">
        <v>0</v>
      </c>
      <c r="V68" s="106">
        <v>0</v>
      </c>
      <c r="W68" s="106">
        <v>0</v>
      </c>
      <c r="X68" s="106">
        <v>0</v>
      </c>
      <c r="Y68" s="106">
        <v>0</v>
      </c>
      <c r="Z68" s="106">
        <v>0</v>
      </c>
      <c r="AA68" s="106">
        <v>0</v>
      </c>
      <c r="AB68" s="106">
        <v>0</v>
      </c>
      <c r="AC68" s="106">
        <v>0</v>
      </c>
      <c r="AD68" s="106">
        <v>0</v>
      </c>
      <c r="AE68" s="106">
        <v>0</v>
      </c>
      <c r="AF68" s="106">
        <v>0</v>
      </c>
      <c r="AG68" s="106">
        <v>0</v>
      </c>
      <c r="AH68" s="106">
        <v>0</v>
      </c>
      <c r="AI68" s="106">
        <v>0</v>
      </c>
      <c r="AJ68" s="106">
        <v>0</v>
      </c>
    </row>
    <row r="69" spans="1:36" x14ac:dyDescent="0.25">
      <c r="A69" s="104" t="s">
        <v>64</v>
      </c>
      <c r="B69" s="107">
        <v>11213</v>
      </c>
      <c r="C69" s="107">
        <v>6200</v>
      </c>
      <c r="D69" s="107">
        <v>6373</v>
      </c>
      <c r="E69" s="107">
        <v>5765</v>
      </c>
      <c r="F69" s="107">
        <v>4478</v>
      </c>
      <c r="G69" s="107">
        <v>5064</v>
      </c>
      <c r="H69" s="107">
        <v>5292</v>
      </c>
      <c r="I69" s="107">
        <v>4748</v>
      </c>
      <c r="J69" s="107">
        <v>4527</v>
      </c>
      <c r="K69" s="107">
        <v>7904</v>
      </c>
      <c r="L69" s="107">
        <v>9760</v>
      </c>
      <c r="M69" s="107">
        <v>10864</v>
      </c>
      <c r="N69" s="107">
        <v>10434</v>
      </c>
      <c r="O69" s="107">
        <v>9822</v>
      </c>
      <c r="P69" s="107">
        <v>7837</v>
      </c>
      <c r="Q69" s="107">
        <v>8296</v>
      </c>
      <c r="R69" s="107">
        <v>7998</v>
      </c>
      <c r="S69" s="107">
        <v>10098</v>
      </c>
      <c r="T69" s="107">
        <v>12228</v>
      </c>
      <c r="U69" s="107">
        <v>10511</v>
      </c>
      <c r="V69" s="107">
        <v>9861</v>
      </c>
      <c r="W69" s="107">
        <v>8387</v>
      </c>
      <c r="X69" s="107">
        <v>9515</v>
      </c>
      <c r="Y69" s="107">
        <v>10768</v>
      </c>
      <c r="Z69" s="107">
        <v>10532</v>
      </c>
      <c r="AA69" s="107">
        <v>10489</v>
      </c>
      <c r="AB69" s="107">
        <v>11435</v>
      </c>
      <c r="AC69" s="108">
        <v>9551.0470000000005</v>
      </c>
      <c r="AD69" s="107">
        <v>10127.629999999999</v>
      </c>
      <c r="AE69" s="108">
        <v>7797.241</v>
      </c>
      <c r="AF69" s="108">
        <v>6874.4740000000002</v>
      </c>
      <c r="AG69" s="108">
        <v>7100.433</v>
      </c>
      <c r="AH69" s="108">
        <v>6831.4359999999997</v>
      </c>
      <c r="AI69" s="108">
        <v>5433.0060000000003</v>
      </c>
      <c r="AJ69" s="107">
        <v>5337.86</v>
      </c>
    </row>
    <row r="70" spans="1:36" x14ac:dyDescent="0.25">
      <c r="A70" s="104" t="s">
        <v>65</v>
      </c>
      <c r="B70" s="106">
        <v>0</v>
      </c>
      <c r="C70" s="106">
        <v>0</v>
      </c>
      <c r="D70" s="106">
        <v>0</v>
      </c>
      <c r="E70" s="106">
        <v>0</v>
      </c>
      <c r="F70" s="106">
        <v>0</v>
      </c>
      <c r="G70" s="106">
        <v>0</v>
      </c>
      <c r="H70" s="106">
        <v>0</v>
      </c>
      <c r="I70" s="106">
        <v>0</v>
      </c>
      <c r="J70" s="106">
        <v>0</v>
      </c>
      <c r="K70" s="106">
        <v>0</v>
      </c>
      <c r="L70" s="106">
        <v>5</v>
      </c>
      <c r="M70" s="106">
        <v>19</v>
      </c>
      <c r="N70" s="106">
        <v>2552</v>
      </c>
      <c r="O70" s="106">
        <v>2445</v>
      </c>
      <c r="P70" s="106">
        <v>2005</v>
      </c>
      <c r="Q70" s="106">
        <v>1979</v>
      </c>
      <c r="R70" s="106">
        <v>978</v>
      </c>
      <c r="S70" s="106">
        <v>781</v>
      </c>
      <c r="T70" s="106">
        <v>264</v>
      </c>
      <c r="U70" s="106">
        <v>209</v>
      </c>
      <c r="V70" s="106">
        <v>216</v>
      </c>
      <c r="W70" s="106">
        <v>72</v>
      </c>
      <c r="X70" s="106">
        <v>83</v>
      </c>
      <c r="Y70" s="106">
        <v>88</v>
      </c>
      <c r="Z70" s="106">
        <v>96</v>
      </c>
      <c r="AA70" s="106">
        <v>100</v>
      </c>
      <c r="AB70" s="106">
        <v>114</v>
      </c>
      <c r="AC70" s="105">
        <v>148.572</v>
      </c>
      <c r="AD70" s="105">
        <v>118.986</v>
      </c>
      <c r="AE70" s="105">
        <v>83.322999999999993</v>
      </c>
      <c r="AF70" s="105">
        <v>84.484999999999999</v>
      </c>
      <c r="AG70" s="106">
        <v>104.66</v>
      </c>
      <c r="AH70" s="105">
        <v>45.470999999999997</v>
      </c>
      <c r="AI70" s="105">
        <v>39.164000000000001</v>
      </c>
      <c r="AJ70" s="105">
        <v>28.507000000000001</v>
      </c>
    </row>
    <row r="71" spans="1:36" x14ac:dyDescent="0.25">
      <c r="A71" s="104" t="s">
        <v>77</v>
      </c>
      <c r="B71" s="108">
        <v>9651.9030000000002</v>
      </c>
      <c r="C71" s="108">
        <v>9099.1239999999998</v>
      </c>
      <c r="D71" s="108">
        <v>10219.883</v>
      </c>
      <c r="E71" s="108">
        <v>9651.0409999999993</v>
      </c>
      <c r="F71" s="108">
        <v>12986.128000000001</v>
      </c>
      <c r="G71" s="108">
        <v>11988.494000000001</v>
      </c>
      <c r="H71" s="108">
        <v>11182.012000000001</v>
      </c>
      <c r="I71" s="108">
        <v>9318.4439999999995</v>
      </c>
      <c r="J71" s="108">
        <v>7613.8940000000002</v>
      </c>
      <c r="K71" s="108">
        <v>9543.9349999999995</v>
      </c>
      <c r="L71" s="108">
        <v>10908.258</v>
      </c>
      <c r="M71" s="107">
        <v>10052.9</v>
      </c>
      <c r="N71" s="108">
        <v>10714.346</v>
      </c>
      <c r="O71" s="108">
        <v>11948.929</v>
      </c>
      <c r="P71" s="107">
        <v>8721.44</v>
      </c>
      <c r="Q71" s="107">
        <v>9094.15</v>
      </c>
      <c r="R71" s="108">
        <v>8485.6790000000001</v>
      </c>
      <c r="S71" s="108">
        <v>8388.3649999999998</v>
      </c>
      <c r="T71" s="108">
        <v>7724.9539999999997</v>
      </c>
      <c r="U71" s="108">
        <v>6521.0079999999998</v>
      </c>
      <c r="V71" s="108">
        <v>8318.491</v>
      </c>
      <c r="W71" s="108">
        <v>9093.1440000000002</v>
      </c>
      <c r="X71" s="108">
        <v>9921.5120000000006</v>
      </c>
      <c r="Y71" s="108">
        <v>9988.3919999999998</v>
      </c>
      <c r="Z71" s="108">
        <v>9674.5589999999993</v>
      </c>
      <c r="AA71" s="108">
        <v>9641.0229999999992</v>
      </c>
      <c r="AB71" s="108">
        <v>10617.013000000001</v>
      </c>
      <c r="AC71" s="108">
        <v>13705.352000000001</v>
      </c>
      <c r="AD71" s="108">
        <v>13407.181</v>
      </c>
      <c r="AE71" s="108">
        <v>13577.115</v>
      </c>
      <c r="AF71" s="108">
        <v>10761.525</v>
      </c>
      <c r="AG71" s="108">
        <v>11995.019</v>
      </c>
      <c r="AH71" s="108">
        <v>9544.3790000000008</v>
      </c>
      <c r="AI71" s="108">
        <v>8719.5810000000001</v>
      </c>
      <c r="AJ71" s="108">
        <v>4341.6379999999999</v>
      </c>
    </row>
    <row r="72" spans="1:36" x14ac:dyDescent="0.25">
      <c r="A72" s="104" t="s">
        <v>78</v>
      </c>
      <c r="B72" s="105">
        <v>2944.0970000000002</v>
      </c>
      <c r="C72" s="105">
        <v>2456.8760000000002</v>
      </c>
      <c r="D72" s="105">
        <v>3090.1170000000002</v>
      </c>
      <c r="E72" s="105">
        <v>2063.9589999999998</v>
      </c>
      <c r="F72" s="105">
        <v>2705.8719999999998</v>
      </c>
      <c r="G72" s="105">
        <v>1183.5060000000001</v>
      </c>
      <c r="H72" s="105">
        <v>648.98800000000006</v>
      </c>
      <c r="I72" s="105">
        <v>609.55600000000004</v>
      </c>
      <c r="J72" s="105">
        <v>192.10599999999999</v>
      </c>
      <c r="K72" s="105">
        <v>494.065</v>
      </c>
      <c r="L72" s="105">
        <v>1009.742</v>
      </c>
      <c r="M72" s="106">
        <v>1113.0999999999999</v>
      </c>
      <c r="N72" s="105">
        <v>1014.654</v>
      </c>
      <c r="O72" s="105">
        <v>1322.0709999999999</v>
      </c>
      <c r="P72" s="106">
        <v>1213.56</v>
      </c>
      <c r="Q72" s="106">
        <v>1072.97</v>
      </c>
      <c r="R72" s="105">
        <v>1242.924</v>
      </c>
      <c r="S72" s="105">
        <v>1394.857</v>
      </c>
      <c r="T72" s="105">
        <v>967.50599999999997</v>
      </c>
      <c r="U72" s="106">
        <v>1190.58</v>
      </c>
      <c r="V72" s="105">
        <v>1179.442</v>
      </c>
      <c r="W72" s="105">
        <v>938.50400000000002</v>
      </c>
      <c r="X72" s="105">
        <v>886.71799999999996</v>
      </c>
      <c r="Y72" s="106">
        <v>1250.56</v>
      </c>
      <c r="Z72" s="105">
        <v>848.79700000000003</v>
      </c>
      <c r="AA72" s="105">
        <v>393.10500000000002</v>
      </c>
      <c r="AB72" s="105">
        <v>389.71899999999999</v>
      </c>
      <c r="AC72" s="105">
        <v>412.22500000000002</v>
      </c>
      <c r="AD72" s="105">
        <v>632.37599999999998</v>
      </c>
      <c r="AE72" s="105">
        <v>815.20100000000002</v>
      </c>
      <c r="AF72" s="106">
        <v>375.1</v>
      </c>
      <c r="AG72" s="106">
        <v>264.24</v>
      </c>
      <c r="AH72" s="105">
        <v>262.22699999999998</v>
      </c>
      <c r="AI72" s="105">
        <v>255.49299999999999</v>
      </c>
      <c r="AJ72" s="106">
        <v>0</v>
      </c>
    </row>
    <row r="73" spans="1:36" x14ac:dyDescent="0.25">
      <c r="A73" s="104" t="s">
        <v>79</v>
      </c>
      <c r="B73" s="107">
        <v>29646</v>
      </c>
      <c r="C73" s="107">
        <v>20989</v>
      </c>
      <c r="D73" s="107">
        <v>16514</v>
      </c>
      <c r="E73" s="107">
        <v>15116</v>
      </c>
      <c r="F73" s="107">
        <v>16180</v>
      </c>
      <c r="G73" s="107">
        <v>9985</v>
      </c>
      <c r="H73" s="107">
        <v>9025</v>
      </c>
      <c r="I73" s="107">
        <v>8152</v>
      </c>
      <c r="J73" s="107">
        <v>10409</v>
      </c>
      <c r="K73" s="107">
        <v>9875</v>
      </c>
      <c r="L73" s="107">
        <v>13580</v>
      </c>
      <c r="M73" s="107">
        <v>14827</v>
      </c>
      <c r="N73" s="107">
        <v>15158</v>
      </c>
      <c r="O73" s="107">
        <v>14421</v>
      </c>
      <c r="P73" s="107">
        <v>18057</v>
      </c>
      <c r="Q73" s="108">
        <v>16920.346000000001</v>
      </c>
      <c r="R73" s="108">
        <v>18022.133999999998</v>
      </c>
      <c r="S73" s="108">
        <v>13920.124</v>
      </c>
      <c r="T73" s="107">
        <v>17256.830000000002</v>
      </c>
      <c r="U73" s="108">
        <v>12977.474</v>
      </c>
      <c r="V73" s="108">
        <v>20476.496999999999</v>
      </c>
      <c r="W73" s="108">
        <v>20203.358</v>
      </c>
      <c r="X73" s="108">
        <v>18303.895</v>
      </c>
      <c r="Y73" s="108">
        <v>18501.242999999999</v>
      </c>
      <c r="Z73" s="108">
        <v>17229.013999999999</v>
      </c>
      <c r="AA73" s="108">
        <v>24669.712</v>
      </c>
      <c r="AB73" s="108">
        <v>21823.008999999998</v>
      </c>
      <c r="AC73" s="108">
        <v>21060.126</v>
      </c>
      <c r="AD73" s="108">
        <v>19899.822</v>
      </c>
      <c r="AE73" s="108">
        <v>18854.781999999999</v>
      </c>
      <c r="AF73" s="108">
        <v>18870.311000000002</v>
      </c>
      <c r="AG73" s="108">
        <v>17350.234</v>
      </c>
      <c r="AH73" s="108">
        <v>15112.191000000001</v>
      </c>
      <c r="AI73" s="107">
        <v>14189.19</v>
      </c>
      <c r="AJ73" s="108">
        <v>15150.021000000001</v>
      </c>
    </row>
    <row r="74" spans="1:36" x14ac:dyDescent="0.25">
      <c r="A74" s="104" t="s">
        <v>80</v>
      </c>
      <c r="B74" s="106">
        <v>365</v>
      </c>
      <c r="C74" s="106">
        <v>759</v>
      </c>
      <c r="D74" s="106">
        <v>386</v>
      </c>
      <c r="E74" s="106">
        <v>418</v>
      </c>
      <c r="F74" s="106">
        <v>394</v>
      </c>
      <c r="G74" s="106">
        <v>376</v>
      </c>
      <c r="H74" s="106">
        <v>505</v>
      </c>
      <c r="I74" s="106">
        <v>445</v>
      </c>
      <c r="J74" s="106">
        <v>1269</v>
      </c>
      <c r="K74" s="106">
        <v>948</v>
      </c>
      <c r="L74" s="106">
        <v>1046</v>
      </c>
      <c r="M74" s="106">
        <v>1079</v>
      </c>
      <c r="N74" s="106">
        <v>1435</v>
      </c>
      <c r="O74" s="106">
        <v>3922</v>
      </c>
      <c r="P74" s="106">
        <v>4807</v>
      </c>
      <c r="Q74" s="106">
        <v>5417</v>
      </c>
      <c r="R74" s="106">
        <v>4916</v>
      </c>
      <c r="S74" s="106">
        <v>3605</v>
      </c>
      <c r="T74" s="106">
        <v>2841</v>
      </c>
      <c r="U74" s="106">
        <v>2610</v>
      </c>
      <c r="V74" s="106">
        <v>3346</v>
      </c>
      <c r="W74" s="106">
        <v>3125</v>
      </c>
      <c r="X74" s="106">
        <v>3605</v>
      </c>
      <c r="Y74" s="106">
        <v>4009</v>
      </c>
      <c r="Z74" s="106">
        <v>3668</v>
      </c>
      <c r="AA74" s="106">
        <v>3696</v>
      </c>
      <c r="AB74" s="106">
        <v>3240</v>
      </c>
      <c r="AC74" s="105">
        <v>2501.2240000000002</v>
      </c>
      <c r="AD74" s="105">
        <v>3264.1860000000001</v>
      </c>
      <c r="AE74" s="105">
        <v>3345.172</v>
      </c>
      <c r="AF74" s="105">
        <v>2700.4180000000001</v>
      </c>
      <c r="AG74" s="105">
        <v>2251.335</v>
      </c>
      <c r="AH74" s="105">
        <v>2085.9609999999998</v>
      </c>
      <c r="AI74" s="105">
        <v>1783.5619999999999</v>
      </c>
      <c r="AJ74" s="105">
        <v>1178.002</v>
      </c>
    </row>
    <row r="75" spans="1:36" x14ac:dyDescent="0.25">
      <c r="A75" s="104" t="s">
        <v>66</v>
      </c>
      <c r="B75" s="107">
        <v>27038</v>
      </c>
      <c r="C75" s="107">
        <v>30760</v>
      </c>
      <c r="D75" s="107">
        <v>30854</v>
      </c>
      <c r="E75" s="107">
        <v>30741</v>
      </c>
      <c r="F75" s="107">
        <v>30818</v>
      </c>
      <c r="G75" s="107">
        <v>33241</v>
      </c>
      <c r="H75" s="107">
        <v>35407</v>
      </c>
      <c r="I75" s="107">
        <v>33951</v>
      </c>
      <c r="J75" s="107">
        <v>31606</v>
      </c>
      <c r="K75" s="107">
        <v>30062</v>
      </c>
      <c r="L75" s="107">
        <v>32099</v>
      </c>
      <c r="M75" s="107">
        <v>37323</v>
      </c>
      <c r="N75" s="107">
        <v>45027</v>
      </c>
      <c r="O75" s="107">
        <v>46922</v>
      </c>
      <c r="P75" s="107">
        <v>44232</v>
      </c>
      <c r="Q75" s="107">
        <v>38091</v>
      </c>
      <c r="R75" s="107">
        <v>40848</v>
      </c>
      <c r="S75" s="107">
        <v>46044</v>
      </c>
      <c r="T75" s="107">
        <v>43274</v>
      </c>
      <c r="U75" s="107">
        <v>43010</v>
      </c>
      <c r="V75" s="107">
        <v>47995</v>
      </c>
      <c r="W75" s="107">
        <v>40719</v>
      </c>
      <c r="X75" s="107">
        <v>36991</v>
      </c>
      <c r="Y75" s="107">
        <v>31721</v>
      </c>
      <c r="Z75" s="107">
        <v>31736</v>
      </c>
      <c r="AA75" s="107">
        <v>32199</v>
      </c>
      <c r="AB75" s="107">
        <v>31959</v>
      </c>
      <c r="AC75" s="107">
        <v>30217</v>
      </c>
      <c r="AD75" s="108">
        <v>33182.178</v>
      </c>
      <c r="AE75" s="108">
        <v>30434.108</v>
      </c>
      <c r="AF75" s="108">
        <v>23536.958999999999</v>
      </c>
      <c r="AG75" s="108">
        <v>19233.236000000001</v>
      </c>
      <c r="AH75" s="108">
        <v>17152.902999999998</v>
      </c>
      <c r="AI75" s="108">
        <v>14477.758</v>
      </c>
      <c r="AJ75" s="107">
        <v>10908.3</v>
      </c>
    </row>
    <row r="76" spans="1:36" x14ac:dyDescent="0.25">
      <c r="A76" s="104" t="s">
        <v>67</v>
      </c>
      <c r="B76" s="106">
        <v>13</v>
      </c>
      <c r="C76" s="106">
        <v>6</v>
      </c>
      <c r="D76" s="106">
        <v>6</v>
      </c>
      <c r="E76" s="106">
        <v>6</v>
      </c>
      <c r="F76" s="106">
        <v>32</v>
      </c>
      <c r="G76" s="106">
        <v>46</v>
      </c>
      <c r="H76" s="106">
        <v>48</v>
      </c>
      <c r="I76" s="106">
        <v>83</v>
      </c>
      <c r="J76" s="106">
        <v>30</v>
      </c>
      <c r="K76" s="106">
        <v>0</v>
      </c>
      <c r="L76" s="106">
        <v>0</v>
      </c>
      <c r="M76" s="106">
        <v>0</v>
      </c>
      <c r="N76" s="106">
        <v>0</v>
      </c>
      <c r="O76" s="106">
        <v>10</v>
      </c>
      <c r="P76" s="106">
        <v>0</v>
      </c>
      <c r="Q76" s="106">
        <v>6</v>
      </c>
      <c r="R76" s="106">
        <v>0</v>
      </c>
      <c r="S76" s="106">
        <v>0</v>
      </c>
      <c r="T76" s="106">
        <v>411</v>
      </c>
      <c r="U76" s="106">
        <v>399</v>
      </c>
      <c r="V76" s="106">
        <v>326</v>
      </c>
      <c r="W76" s="106">
        <v>630</v>
      </c>
      <c r="X76" s="106">
        <v>376</v>
      </c>
      <c r="Y76" s="106">
        <v>229</v>
      </c>
      <c r="Z76" s="106">
        <v>111</v>
      </c>
      <c r="AA76" s="106">
        <v>127</v>
      </c>
      <c r="AB76" s="106">
        <v>18</v>
      </c>
      <c r="AC76" s="106">
        <v>8</v>
      </c>
      <c r="AD76" s="106">
        <v>8</v>
      </c>
      <c r="AE76" s="106">
        <v>21</v>
      </c>
      <c r="AF76" s="106">
        <v>36</v>
      </c>
      <c r="AG76" s="106">
        <v>1</v>
      </c>
      <c r="AH76" s="105">
        <v>3.137</v>
      </c>
      <c r="AI76" s="105">
        <v>6.391</v>
      </c>
      <c r="AJ76" s="105">
        <v>2.2770000000000001</v>
      </c>
    </row>
    <row r="77" spans="1:36" x14ac:dyDescent="0.25">
      <c r="A77" s="104" t="s">
        <v>68</v>
      </c>
      <c r="B77" s="107">
        <v>38636</v>
      </c>
      <c r="C77" s="107">
        <v>44903</v>
      </c>
      <c r="D77" s="107">
        <v>37937</v>
      </c>
      <c r="E77" s="107">
        <v>29860</v>
      </c>
      <c r="F77" s="107">
        <v>14694</v>
      </c>
      <c r="G77" s="107">
        <v>8327</v>
      </c>
      <c r="H77" s="107">
        <v>7986</v>
      </c>
      <c r="I77" s="107">
        <v>9175</v>
      </c>
      <c r="J77" s="107">
        <v>6976</v>
      </c>
      <c r="K77" s="107">
        <v>6244</v>
      </c>
      <c r="L77" s="107">
        <v>6139</v>
      </c>
      <c r="M77" s="107">
        <v>6236</v>
      </c>
      <c r="N77" s="107">
        <v>6057</v>
      </c>
      <c r="O77" s="107">
        <v>7105</v>
      </c>
      <c r="P77" s="107">
        <v>5310</v>
      </c>
      <c r="Q77" s="107">
        <v>4593</v>
      </c>
      <c r="R77" s="107">
        <v>4598</v>
      </c>
      <c r="S77" s="107">
        <v>4137</v>
      </c>
      <c r="T77" s="107">
        <v>4186</v>
      </c>
      <c r="U77" s="107">
        <v>3539</v>
      </c>
      <c r="V77" s="107">
        <v>3610</v>
      </c>
      <c r="W77" s="107">
        <v>2862</v>
      </c>
      <c r="X77" s="107">
        <v>2933</v>
      </c>
      <c r="Y77" s="107">
        <v>2947</v>
      </c>
      <c r="Z77" s="107">
        <v>2995</v>
      </c>
      <c r="AA77" s="107">
        <v>2431</v>
      </c>
      <c r="AB77" s="107">
        <v>2122</v>
      </c>
      <c r="AC77" s="107">
        <v>1910</v>
      </c>
      <c r="AD77" s="107">
        <v>2271</v>
      </c>
      <c r="AE77" s="107">
        <v>1958.13</v>
      </c>
      <c r="AF77" s="108">
        <v>1207.4829999999999</v>
      </c>
      <c r="AG77" s="108">
        <v>1696.347</v>
      </c>
      <c r="AH77" s="108">
        <v>1781.5250000000001</v>
      </c>
      <c r="AI77" s="108">
        <v>1240.4449999999999</v>
      </c>
      <c r="AJ77" s="108">
        <v>2708.2510000000002</v>
      </c>
    </row>
    <row r="78" spans="1:36" x14ac:dyDescent="0.25">
      <c r="A78" s="104" t="s">
        <v>81</v>
      </c>
      <c r="B78" s="106">
        <v>538530</v>
      </c>
      <c r="C78" s="106">
        <v>563588</v>
      </c>
      <c r="D78" s="106">
        <v>761020</v>
      </c>
      <c r="E78" s="106">
        <v>708250</v>
      </c>
      <c r="F78" s="106">
        <v>590309</v>
      </c>
      <c r="G78" s="106">
        <v>665104</v>
      </c>
      <c r="H78" s="106">
        <v>707054</v>
      </c>
      <c r="I78" s="106">
        <v>682562</v>
      </c>
      <c r="J78" s="106">
        <v>727107</v>
      </c>
      <c r="K78" s="106">
        <v>684839</v>
      </c>
      <c r="L78" s="105">
        <v>743737.18299999996</v>
      </c>
      <c r="M78" s="105">
        <v>851746.75399999996</v>
      </c>
      <c r="N78" s="105">
        <v>858097.19400000002</v>
      </c>
      <c r="O78" s="105">
        <v>941461.83299999998</v>
      </c>
      <c r="P78" s="106">
        <v>1086810.8799999999</v>
      </c>
      <c r="Q78" s="105">
        <v>1101443.4779999999</v>
      </c>
      <c r="R78" s="106">
        <v>1064537.8600000001</v>
      </c>
      <c r="S78" s="105">
        <v>1024585.584</v>
      </c>
      <c r="T78" s="105">
        <v>1014551.482</v>
      </c>
      <c r="U78" s="105">
        <v>968654.71499999997</v>
      </c>
      <c r="V78" s="105">
        <v>1066410.8540000001</v>
      </c>
      <c r="W78" s="105">
        <v>967485.05700000003</v>
      </c>
      <c r="X78" s="105">
        <v>961081.65599999996</v>
      </c>
      <c r="Y78" s="105">
        <v>923308.66899999999</v>
      </c>
      <c r="Z78" s="105">
        <v>815683.27500000002</v>
      </c>
      <c r="AA78" s="105">
        <v>807307.23800000001</v>
      </c>
      <c r="AB78" s="106">
        <v>846706.92</v>
      </c>
      <c r="AC78" s="105">
        <v>845561.38899999997</v>
      </c>
      <c r="AD78" s="105">
        <v>826516.30500000005</v>
      </c>
      <c r="AE78" s="106">
        <v>806073.81</v>
      </c>
      <c r="AF78" s="105">
        <v>787187.35100000002</v>
      </c>
      <c r="AG78" s="106">
        <v>765227.69</v>
      </c>
      <c r="AH78" s="105">
        <v>641315.90099999995</v>
      </c>
      <c r="AI78" s="105">
        <v>639592.94099999999</v>
      </c>
      <c r="AJ78" s="106">
        <v>636055.29</v>
      </c>
    </row>
    <row r="79" spans="1:36" x14ac:dyDescent="0.25">
      <c r="A79" s="104" t="s">
        <v>117</v>
      </c>
      <c r="B79" s="107">
        <v>66</v>
      </c>
      <c r="C79" s="107">
        <v>70</v>
      </c>
      <c r="D79" s="107">
        <v>105</v>
      </c>
      <c r="E79" s="107">
        <v>102</v>
      </c>
      <c r="F79" s="107">
        <v>32</v>
      </c>
      <c r="G79" s="107">
        <v>130</v>
      </c>
      <c r="H79" s="107">
        <v>205</v>
      </c>
      <c r="I79" s="107">
        <v>130</v>
      </c>
      <c r="J79" s="107">
        <v>128</v>
      </c>
      <c r="K79" s="107">
        <v>65</v>
      </c>
      <c r="L79" s="107">
        <v>58</v>
      </c>
      <c r="M79" s="107">
        <v>55</v>
      </c>
      <c r="N79" s="107">
        <v>15</v>
      </c>
      <c r="O79" s="107">
        <v>15</v>
      </c>
      <c r="P79" s="107">
        <v>105</v>
      </c>
      <c r="Q79" s="107">
        <v>110</v>
      </c>
      <c r="R79" s="107">
        <v>105</v>
      </c>
      <c r="S79" s="107">
        <v>75</v>
      </c>
      <c r="T79" s="107">
        <v>11</v>
      </c>
      <c r="U79" s="107">
        <v>0</v>
      </c>
      <c r="V79" s="107">
        <v>0</v>
      </c>
      <c r="W79" s="107">
        <v>0</v>
      </c>
      <c r="X79" s="107">
        <v>0</v>
      </c>
      <c r="Y79" s="107">
        <v>0</v>
      </c>
      <c r="Z79" s="107">
        <v>0</v>
      </c>
      <c r="AA79" s="107">
        <v>0</v>
      </c>
      <c r="AB79" s="107">
        <v>0</v>
      </c>
      <c r="AC79" s="107">
        <v>0</v>
      </c>
      <c r="AD79" s="107">
        <v>0</v>
      </c>
      <c r="AE79" s="107">
        <v>0</v>
      </c>
      <c r="AF79" s="107">
        <v>0</v>
      </c>
      <c r="AG79" s="107">
        <v>0</v>
      </c>
      <c r="AH79" s="107">
        <v>0</v>
      </c>
      <c r="AI79" s="107">
        <v>0</v>
      </c>
      <c r="AJ79" s="107">
        <v>0</v>
      </c>
    </row>
    <row r="80" spans="1:36" x14ac:dyDescent="0.25">
      <c r="A80" s="104" t="s">
        <v>118</v>
      </c>
      <c r="B80" s="106">
        <v>0</v>
      </c>
      <c r="C80" s="106">
        <v>0</v>
      </c>
      <c r="D80" s="106">
        <v>0</v>
      </c>
      <c r="E80" s="106">
        <v>0</v>
      </c>
      <c r="F80" s="106">
        <v>0</v>
      </c>
      <c r="G80" s="106">
        <v>0</v>
      </c>
      <c r="H80" s="106">
        <v>0</v>
      </c>
      <c r="I80" s="106">
        <v>0</v>
      </c>
      <c r="J80" s="106">
        <v>0</v>
      </c>
      <c r="K80" s="106">
        <v>0</v>
      </c>
      <c r="L80" s="106">
        <v>0</v>
      </c>
      <c r="M80" s="106">
        <v>0</v>
      </c>
      <c r="N80" s="106">
        <v>0</v>
      </c>
      <c r="O80" s="106">
        <v>0</v>
      </c>
      <c r="P80" s="106">
        <v>0</v>
      </c>
      <c r="Q80" s="106">
        <v>0</v>
      </c>
      <c r="R80" s="106">
        <v>0</v>
      </c>
      <c r="S80" s="106">
        <v>0</v>
      </c>
      <c r="T80" s="106">
        <v>0</v>
      </c>
      <c r="U80" s="106">
        <v>0</v>
      </c>
      <c r="V80" s="106">
        <v>0</v>
      </c>
      <c r="W80" s="106">
        <v>0</v>
      </c>
      <c r="X80" s="106">
        <v>0</v>
      </c>
      <c r="Y80" s="106">
        <v>0</v>
      </c>
      <c r="Z80" s="106">
        <v>0</v>
      </c>
      <c r="AA80" s="106">
        <v>0</v>
      </c>
      <c r="AB80" s="106">
        <v>0</v>
      </c>
      <c r="AC80" s="106">
        <v>0</v>
      </c>
      <c r="AD80" s="106">
        <v>0</v>
      </c>
      <c r="AE80" s="106">
        <v>0</v>
      </c>
      <c r="AF80" s="106">
        <v>0</v>
      </c>
      <c r="AG80" s="106">
        <v>0</v>
      </c>
      <c r="AH80" s="106">
        <v>0</v>
      </c>
      <c r="AI80" s="106">
        <v>0</v>
      </c>
      <c r="AJ80" s="106">
        <v>0</v>
      </c>
    </row>
    <row r="81" spans="1:36" x14ac:dyDescent="0.25">
      <c r="A81" s="104" t="s">
        <v>124</v>
      </c>
      <c r="B81" s="107">
        <v>5122</v>
      </c>
      <c r="C81" s="107">
        <v>9169</v>
      </c>
      <c r="D81" s="107">
        <v>10514</v>
      </c>
      <c r="E81" s="107">
        <v>10127</v>
      </c>
      <c r="F81" s="107">
        <v>15738</v>
      </c>
      <c r="G81" s="107">
        <v>33835</v>
      </c>
      <c r="H81" s="107">
        <v>31988</v>
      </c>
      <c r="I81" s="107">
        <v>37472</v>
      </c>
      <c r="J81" s="107">
        <v>41516</v>
      </c>
      <c r="K81" s="107">
        <v>42010</v>
      </c>
      <c r="L81" s="107">
        <v>53541</v>
      </c>
      <c r="M81" s="107">
        <v>54961</v>
      </c>
      <c r="N81" s="107">
        <v>53728</v>
      </c>
      <c r="O81" s="107">
        <v>51356</v>
      </c>
      <c r="P81" s="107">
        <v>65085</v>
      </c>
      <c r="Q81" s="108">
        <v>64115.277999999998</v>
      </c>
      <c r="R81" s="108">
        <v>43189.838000000003</v>
      </c>
      <c r="S81" s="108">
        <v>39746.911</v>
      </c>
      <c r="T81" s="107">
        <v>39753.11</v>
      </c>
      <c r="U81" s="108">
        <v>34213.758999999998</v>
      </c>
      <c r="V81" s="108">
        <v>44063.928</v>
      </c>
      <c r="W81" s="108">
        <v>46300.726000000002</v>
      </c>
      <c r="X81" s="108">
        <v>42694.364000000001</v>
      </c>
      <c r="Y81" s="108">
        <v>43815.232000000004</v>
      </c>
      <c r="Z81" s="108">
        <v>42746.326000000001</v>
      </c>
      <c r="AA81" s="108">
        <v>36951.008000000002</v>
      </c>
      <c r="AB81" s="108">
        <v>41595.035000000003</v>
      </c>
      <c r="AC81" s="108">
        <v>41339.525000000001</v>
      </c>
      <c r="AD81" s="108">
        <v>40150.703999999998</v>
      </c>
      <c r="AE81" s="108">
        <v>39784.173999999999</v>
      </c>
      <c r="AF81" s="108">
        <v>36985.663</v>
      </c>
      <c r="AG81" s="108">
        <v>20928.945</v>
      </c>
      <c r="AH81" s="108">
        <v>22039.089</v>
      </c>
      <c r="AI81" s="108">
        <v>21013.066999999999</v>
      </c>
      <c r="AJ81" s="108">
        <v>16875.255000000001</v>
      </c>
    </row>
    <row r="82" spans="1:36" x14ac:dyDescent="0.25">
      <c r="A82" s="104" t="s">
        <v>126</v>
      </c>
      <c r="B82" s="106">
        <v>1713</v>
      </c>
      <c r="C82" s="106">
        <v>2071</v>
      </c>
      <c r="D82" s="106">
        <v>2634</v>
      </c>
      <c r="E82" s="106">
        <v>2331</v>
      </c>
      <c r="F82" s="106">
        <v>2703</v>
      </c>
      <c r="G82" s="106">
        <v>3198</v>
      </c>
      <c r="H82" s="106">
        <v>3812</v>
      </c>
      <c r="I82" s="106">
        <v>1499</v>
      </c>
      <c r="J82" s="106">
        <v>2159</v>
      </c>
      <c r="K82" s="106">
        <v>1461</v>
      </c>
      <c r="L82" s="106">
        <v>873</v>
      </c>
      <c r="M82" s="106">
        <v>1026</v>
      </c>
      <c r="N82" s="106">
        <v>1103</v>
      </c>
      <c r="O82" s="106">
        <v>904</v>
      </c>
      <c r="P82" s="106">
        <v>1402</v>
      </c>
      <c r="Q82" s="105">
        <v>1040.567</v>
      </c>
      <c r="R82" s="106">
        <v>1228.6300000000001</v>
      </c>
      <c r="S82" s="105">
        <v>1018.928</v>
      </c>
      <c r="T82" s="105">
        <v>871.60299999999995</v>
      </c>
      <c r="U82" s="106">
        <v>1058</v>
      </c>
      <c r="V82" s="106">
        <v>2095</v>
      </c>
      <c r="W82" s="106">
        <v>1245</v>
      </c>
      <c r="X82" s="106">
        <v>1269</v>
      </c>
      <c r="Y82" s="106">
        <v>960</v>
      </c>
      <c r="Z82" s="106">
        <v>624</v>
      </c>
      <c r="AA82" s="105">
        <v>568.89499999999998</v>
      </c>
      <c r="AB82" s="105">
        <v>838.68200000000002</v>
      </c>
      <c r="AC82" s="105">
        <v>830.596</v>
      </c>
      <c r="AD82" s="105">
        <v>901.548</v>
      </c>
      <c r="AE82" s="105">
        <v>1156.3219999999999</v>
      </c>
      <c r="AF82" s="105">
        <v>918.81700000000001</v>
      </c>
      <c r="AG82" s="105">
        <v>959.16800000000001</v>
      </c>
      <c r="AH82" s="105">
        <v>2193.5830000000001</v>
      </c>
      <c r="AI82" s="105">
        <v>2579.5569999999998</v>
      </c>
      <c r="AJ82" s="105">
        <v>2364.8910000000001</v>
      </c>
    </row>
    <row r="83" spans="1:36" x14ac:dyDescent="0.25">
      <c r="A83" s="104" t="s">
        <v>127</v>
      </c>
      <c r="B83" s="107">
        <v>0</v>
      </c>
      <c r="C83" s="107">
        <v>0</v>
      </c>
      <c r="D83" s="107">
        <v>0</v>
      </c>
      <c r="E83" s="107">
        <v>0</v>
      </c>
      <c r="F83" s="107">
        <v>0</v>
      </c>
      <c r="G83" s="107">
        <v>0</v>
      </c>
      <c r="H83" s="107">
        <v>0</v>
      </c>
      <c r="I83" s="107">
        <v>0</v>
      </c>
      <c r="J83" s="107">
        <v>0</v>
      </c>
      <c r="K83" s="107">
        <v>0</v>
      </c>
      <c r="L83" s="107">
        <v>0</v>
      </c>
      <c r="M83" s="107">
        <v>0</v>
      </c>
      <c r="N83" s="107">
        <v>0</v>
      </c>
      <c r="O83" s="107">
        <v>0</v>
      </c>
      <c r="P83" s="107">
        <v>1</v>
      </c>
      <c r="Q83" s="107">
        <v>1</v>
      </c>
      <c r="R83" s="107">
        <v>1</v>
      </c>
      <c r="S83" s="107">
        <v>1</v>
      </c>
      <c r="T83" s="107">
        <v>1670</v>
      </c>
      <c r="U83" s="107">
        <v>2453</v>
      </c>
      <c r="V83" s="107">
        <v>1820</v>
      </c>
      <c r="W83" s="107">
        <v>1712</v>
      </c>
      <c r="X83" s="107">
        <v>1103</v>
      </c>
      <c r="Y83" s="107">
        <v>1032</v>
      </c>
      <c r="Z83" s="107">
        <v>270</v>
      </c>
      <c r="AA83" s="107">
        <v>0</v>
      </c>
      <c r="AB83" s="107">
        <v>0</v>
      </c>
      <c r="AC83" s="107">
        <v>0</v>
      </c>
      <c r="AD83" s="107">
        <v>0</v>
      </c>
      <c r="AE83" s="107">
        <v>0</v>
      </c>
      <c r="AF83" s="107">
        <v>0</v>
      </c>
      <c r="AG83" s="107">
        <v>0</v>
      </c>
      <c r="AH83" s="107">
        <v>443</v>
      </c>
      <c r="AI83" s="107">
        <v>367</v>
      </c>
      <c r="AJ83" s="107">
        <v>380</v>
      </c>
    </row>
    <row r="84" spans="1:36" x14ac:dyDescent="0.25">
      <c r="A84" s="104" t="s">
        <v>132</v>
      </c>
      <c r="B84" s="106">
        <v>0</v>
      </c>
      <c r="C84" s="106">
        <v>0</v>
      </c>
      <c r="D84" s="106">
        <v>0</v>
      </c>
      <c r="E84" s="106">
        <v>0</v>
      </c>
      <c r="F84" s="106">
        <v>0</v>
      </c>
      <c r="G84" s="106">
        <v>0</v>
      </c>
      <c r="H84" s="106">
        <v>0</v>
      </c>
      <c r="I84" s="106">
        <v>0</v>
      </c>
      <c r="J84" s="106">
        <v>0</v>
      </c>
      <c r="K84" s="106">
        <v>0</v>
      </c>
      <c r="L84" s="106">
        <v>0</v>
      </c>
      <c r="M84" s="106">
        <v>0</v>
      </c>
      <c r="N84" s="106">
        <v>0</v>
      </c>
      <c r="O84" s="106">
        <v>0</v>
      </c>
      <c r="P84" s="106">
        <v>0</v>
      </c>
      <c r="Q84" s="106">
        <v>4</v>
      </c>
      <c r="R84" s="106">
        <v>0</v>
      </c>
      <c r="S84" s="106">
        <v>0</v>
      </c>
      <c r="T84" s="106">
        <v>0</v>
      </c>
      <c r="U84" s="106">
        <v>0</v>
      </c>
      <c r="V84" s="106">
        <v>0</v>
      </c>
      <c r="W84" s="106">
        <v>0</v>
      </c>
      <c r="X84" s="106">
        <v>0</v>
      </c>
      <c r="Y84" s="106">
        <v>0</v>
      </c>
      <c r="Z84" s="106">
        <v>0</v>
      </c>
      <c r="AA84" s="106">
        <v>0</v>
      </c>
      <c r="AB84" s="106">
        <v>0</v>
      </c>
      <c r="AC84" s="106">
        <v>0</v>
      </c>
      <c r="AD84" s="106">
        <v>0</v>
      </c>
      <c r="AE84" s="106">
        <v>0</v>
      </c>
      <c r="AF84" s="106">
        <v>0</v>
      </c>
      <c r="AG84" s="106">
        <v>0</v>
      </c>
      <c r="AH84" s="106">
        <v>0</v>
      </c>
      <c r="AI84" s="106">
        <v>0</v>
      </c>
      <c r="AJ84" s="106">
        <v>0</v>
      </c>
    </row>
    <row r="85" spans="1:36" x14ac:dyDescent="0.25">
      <c r="A85" s="104" t="s">
        <v>134</v>
      </c>
      <c r="B85" s="107">
        <v>0</v>
      </c>
      <c r="C85" s="107">
        <v>0</v>
      </c>
      <c r="D85" s="107">
        <v>0</v>
      </c>
      <c r="E85" s="107">
        <v>0</v>
      </c>
      <c r="F85" s="107">
        <v>0</v>
      </c>
      <c r="G85" s="107">
        <v>0</v>
      </c>
      <c r="H85" s="107">
        <v>0</v>
      </c>
      <c r="I85" s="107">
        <v>0</v>
      </c>
      <c r="J85" s="107">
        <v>0</v>
      </c>
      <c r="K85" s="107">
        <v>0</v>
      </c>
      <c r="L85" s="107">
        <v>0</v>
      </c>
      <c r="M85" s="107">
        <v>0</v>
      </c>
      <c r="N85" s="107">
        <v>0</v>
      </c>
      <c r="O85" s="107">
        <v>0</v>
      </c>
      <c r="P85" s="107">
        <v>0</v>
      </c>
      <c r="Q85" s="107">
        <v>0</v>
      </c>
      <c r="R85" s="107">
        <v>0</v>
      </c>
      <c r="S85" s="107">
        <v>0</v>
      </c>
      <c r="T85" s="107">
        <v>65</v>
      </c>
      <c r="U85" s="107">
        <v>16</v>
      </c>
      <c r="V85" s="107">
        <v>29</v>
      </c>
      <c r="W85" s="107">
        <v>3</v>
      </c>
      <c r="X85" s="107">
        <v>8</v>
      </c>
      <c r="Y85" s="107">
        <v>35</v>
      </c>
      <c r="Z85" s="107">
        <v>57</v>
      </c>
      <c r="AA85" s="107">
        <v>9</v>
      </c>
      <c r="AB85" s="107">
        <v>2</v>
      </c>
      <c r="AC85" s="108">
        <v>0.434</v>
      </c>
      <c r="AD85" s="108">
        <v>0.26500000000000001</v>
      </c>
      <c r="AE85" s="108">
        <v>2.8000000000000001E-2</v>
      </c>
      <c r="AF85" s="107">
        <v>0</v>
      </c>
      <c r="AG85" s="107">
        <v>0</v>
      </c>
      <c r="AH85" s="107">
        <v>0</v>
      </c>
      <c r="AI85" s="107">
        <v>0</v>
      </c>
      <c r="AJ85" s="107">
        <v>0</v>
      </c>
    </row>
    <row r="86" spans="1:36" x14ac:dyDescent="0.25">
      <c r="A86" s="104" t="s">
        <v>135</v>
      </c>
      <c r="B86" s="106">
        <v>15234</v>
      </c>
      <c r="C86" s="106">
        <v>14754</v>
      </c>
      <c r="D86" s="106">
        <v>10084.1</v>
      </c>
      <c r="E86" s="106">
        <v>6254</v>
      </c>
      <c r="F86" s="106">
        <v>7745</v>
      </c>
      <c r="G86" s="106">
        <v>7503</v>
      </c>
      <c r="H86" s="106">
        <v>12327</v>
      </c>
      <c r="I86" s="106">
        <v>7773</v>
      </c>
      <c r="J86" s="106">
        <v>8451</v>
      </c>
      <c r="K86" s="106">
        <v>8555</v>
      </c>
      <c r="L86" s="106">
        <v>8174.45</v>
      </c>
      <c r="M86" s="106">
        <v>8570.0499999999993</v>
      </c>
      <c r="N86" s="105">
        <v>10160.518</v>
      </c>
      <c r="O86" s="105">
        <v>20243.188999999998</v>
      </c>
      <c r="P86" s="105">
        <v>17845.978999999999</v>
      </c>
      <c r="Q86" s="105">
        <v>16115.861000000001</v>
      </c>
      <c r="R86" s="105">
        <v>15188.794</v>
      </c>
      <c r="S86" s="105">
        <v>12212.016</v>
      </c>
      <c r="T86" s="105">
        <v>10836.278</v>
      </c>
      <c r="U86" s="105">
        <v>14568.188</v>
      </c>
      <c r="V86" s="105">
        <v>18728.769</v>
      </c>
      <c r="W86" s="105">
        <v>11760.848</v>
      </c>
      <c r="X86" s="105">
        <v>11839.561</v>
      </c>
      <c r="Y86" s="106">
        <v>9318.42</v>
      </c>
      <c r="Z86" s="105">
        <v>6104.0619999999999</v>
      </c>
      <c r="AA86" s="105">
        <v>7765.4560000000001</v>
      </c>
      <c r="AB86" s="105">
        <v>9470.0490000000009</v>
      </c>
      <c r="AC86" s="105">
        <v>9052.6830000000009</v>
      </c>
      <c r="AD86" s="106">
        <v>9655.9500000000007</v>
      </c>
      <c r="AE86" s="105">
        <v>8910.3439999999991</v>
      </c>
      <c r="AF86" s="106">
        <v>8077.26</v>
      </c>
      <c r="AG86" s="106">
        <v>15726.73</v>
      </c>
      <c r="AH86" s="105">
        <v>26993.338</v>
      </c>
      <c r="AI86" s="105">
        <v>15585.165000000001</v>
      </c>
      <c r="AJ86" s="105">
        <v>14966.775</v>
      </c>
    </row>
    <row r="87" spans="1:36" x14ac:dyDescent="0.25">
      <c r="A87" s="104" t="s">
        <v>139</v>
      </c>
      <c r="B87" s="107">
        <v>168353</v>
      </c>
      <c r="C87" s="107">
        <v>181882</v>
      </c>
      <c r="D87" s="107">
        <v>169026.9</v>
      </c>
      <c r="E87" s="107">
        <v>167054</v>
      </c>
      <c r="F87" s="107">
        <v>186796</v>
      </c>
      <c r="G87" s="107">
        <v>143223</v>
      </c>
      <c r="H87" s="107">
        <v>161317</v>
      </c>
      <c r="I87" s="107">
        <v>122025</v>
      </c>
      <c r="J87" s="107">
        <v>129765</v>
      </c>
      <c r="K87" s="107">
        <v>105884</v>
      </c>
      <c r="L87" s="107">
        <v>78258</v>
      </c>
      <c r="M87" s="107">
        <v>90638</v>
      </c>
      <c r="N87" s="107">
        <v>76684</v>
      </c>
      <c r="O87" s="107">
        <v>72850</v>
      </c>
      <c r="P87" s="107">
        <v>129654</v>
      </c>
      <c r="Q87" s="108">
        <v>121958.79700000001</v>
      </c>
      <c r="R87" s="107">
        <v>118736.29</v>
      </c>
      <c r="S87" s="108">
        <v>97852.732000000004</v>
      </c>
      <c r="T87" s="108">
        <v>87188.691000000006</v>
      </c>
      <c r="U87" s="108">
        <v>105199.245</v>
      </c>
      <c r="V87" s="108">
        <v>91076.804999999993</v>
      </c>
      <c r="W87" s="108">
        <v>63488.188999999998</v>
      </c>
      <c r="X87" s="108">
        <v>56416.137999999999</v>
      </c>
      <c r="Y87" s="107">
        <v>41800.78</v>
      </c>
      <c r="Z87" s="108">
        <v>30324.222000000002</v>
      </c>
      <c r="AA87" s="108">
        <v>31286.907999999999</v>
      </c>
      <c r="AB87" s="108">
        <v>27750.284</v>
      </c>
      <c r="AC87" s="108">
        <v>24353.888999999999</v>
      </c>
      <c r="AD87" s="108">
        <v>15717.843000000001</v>
      </c>
      <c r="AE87" s="108">
        <v>12329.332</v>
      </c>
      <c r="AF87" s="108">
        <v>12423.001</v>
      </c>
      <c r="AG87" s="108">
        <v>10696.591</v>
      </c>
      <c r="AH87" s="108">
        <v>12235.564</v>
      </c>
      <c r="AI87" s="108">
        <v>11973.554</v>
      </c>
      <c r="AJ87" s="108">
        <v>13075.111000000001</v>
      </c>
    </row>
    <row r="88" spans="1:36" x14ac:dyDescent="0.25">
      <c r="A88" s="104" t="s">
        <v>183</v>
      </c>
      <c r="B88" s="106">
        <v>273767</v>
      </c>
      <c r="C88" s="106">
        <v>241565</v>
      </c>
      <c r="D88" s="106">
        <v>258856</v>
      </c>
      <c r="E88" s="106">
        <v>267570</v>
      </c>
      <c r="F88" s="106">
        <v>203714</v>
      </c>
      <c r="G88" s="106">
        <v>198118</v>
      </c>
      <c r="H88" s="106">
        <v>199293</v>
      </c>
      <c r="I88" s="106">
        <v>147123</v>
      </c>
      <c r="J88" s="106">
        <v>131604</v>
      </c>
      <c r="K88" s="106">
        <v>114064</v>
      </c>
      <c r="L88" s="106">
        <v>86045</v>
      </c>
      <c r="M88" s="106">
        <v>87795</v>
      </c>
      <c r="N88" s="106">
        <v>77796</v>
      </c>
      <c r="O88" s="106">
        <v>58275</v>
      </c>
      <c r="P88" s="106">
        <v>22916</v>
      </c>
      <c r="Q88" s="106">
        <v>19917</v>
      </c>
      <c r="R88" s="106">
        <v>29159</v>
      </c>
      <c r="S88" s="106">
        <v>20355</v>
      </c>
      <c r="T88" s="106">
        <v>15423</v>
      </c>
      <c r="U88" s="106">
        <v>13856</v>
      </c>
      <c r="V88" s="106">
        <v>16249</v>
      </c>
      <c r="W88" s="105">
        <v>15324.126</v>
      </c>
      <c r="X88" s="105">
        <v>16035.361000000001</v>
      </c>
      <c r="Y88" s="106">
        <v>17177.93</v>
      </c>
      <c r="Z88" s="105">
        <v>18650.397000000001</v>
      </c>
      <c r="AA88" s="106">
        <v>16389.18</v>
      </c>
      <c r="AB88" s="105">
        <v>17707.839</v>
      </c>
      <c r="AC88" s="105">
        <v>16344.421</v>
      </c>
      <c r="AD88" s="105">
        <v>15330.023999999999</v>
      </c>
      <c r="AE88" s="105">
        <v>13872.210999999999</v>
      </c>
      <c r="AF88" s="105">
        <v>16206.116</v>
      </c>
      <c r="AG88" s="105">
        <v>2954.049</v>
      </c>
      <c r="AH88" s="105">
        <v>4558.2039999999997</v>
      </c>
      <c r="AI88" s="105">
        <v>3824.9830000000002</v>
      </c>
      <c r="AJ88" s="105">
        <v>3567.8449999999998</v>
      </c>
    </row>
    <row r="89" spans="1:36" x14ac:dyDescent="0.25">
      <c r="A89" s="104" t="s">
        <v>145</v>
      </c>
      <c r="B89" s="107">
        <v>0</v>
      </c>
      <c r="C89" s="107">
        <v>0</v>
      </c>
      <c r="D89" s="107">
        <v>0</v>
      </c>
      <c r="E89" s="107">
        <v>360</v>
      </c>
      <c r="F89" s="107">
        <v>1086</v>
      </c>
      <c r="G89" s="107">
        <v>267</v>
      </c>
      <c r="H89" s="107">
        <v>0</v>
      </c>
      <c r="I89" s="107">
        <v>0</v>
      </c>
      <c r="J89" s="107">
        <v>0</v>
      </c>
      <c r="K89" s="107">
        <v>0</v>
      </c>
      <c r="L89" s="107">
        <v>0</v>
      </c>
      <c r="M89" s="107">
        <v>0</v>
      </c>
      <c r="N89" s="107">
        <v>0</v>
      </c>
      <c r="O89" s="107">
        <v>696</v>
      </c>
      <c r="P89" s="107">
        <v>983</v>
      </c>
      <c r="Q89" s="107">
        <v>1916</v>
      </c>
      <c r="R89" s="107">
        <v>7876</v>
      </c>
      <c r="S89" s="107">
        <v>9083</v>
      </c>
      <c r="T89" s="107">
        <v>6808</v>
      </c>
      <c r="U89" s="107">
        <v>7497</v>
      </c>
      <c r="V89" s="107">
        <v>10881</v>
      </c>
      <c r="W89" s="107">
        <v>9830</v>
      </c>
      <c r="X89" s="107">
        <v>7212</v>
      </c>
      <c r="Y89" s="107">
        <v>7628</v>
      </c>
      <c r="Z89" s="107">
        <v>6858</v>
      </c>
      <c r="AA89" s="107">
        <v>5840</v>
      </c>
      <c r="AB89" s="107">
        <v>8071</v>
      </c>
      <c r="AC89" s="108">
        <v>4984.8860000000004</v>
      </c>
      <c r="AD89" s="107">
        <v>1611</v>
      </c>
      <c r="AE89" s="108">
        <v>85.078999999999994</v>
      </c>
      <c r="AF89" s="108">
        <v>18.204999999999998</v>
      </c>
      <c r="AG89" s="108">
        <v>1.002</v>
      </c>
      <c r="AH89" s="107">
        <v>1</v>
      </c>
      <c r="AI89" s="107">
        <v>1</v>
      </c>
      <c r="AJ89" s="107">
        <v>0</v>
      </c>
    </row>
    <row r="90" spans="1:36" x14ac:dyDescent="0.25">
      <c r="A90" s="104" t="s">
        <v>146</v>
      </c>
      <c r="B90" s="106">
        <v>0</v>
      </c>
      <c r="C90" s="106">
        <v>0</v>
      </c>
      <c r="D90" s="106">
        <v>0</v>
      </c>
      <c r="E90" s="106">
        <v>0</v>
      </c>
      <c r="F90" s="106">
        <v>0</v>
      </c>
      <c r="G90" s="106">
        <v>452</v>
      </c>
      <c r="H90" s="106">
        <v>784</v>
      </c>
      <c r="I90" s="106">
        <v>975</v>
      </c>
      <c r="J90" s="106">
        <v>1010</v>
      </c>
      <c r="K90" s="106">
        <v>814</v>
      </c>
      <c r="L90" s="106">
        <v>828</v>
      </c>
      <c r="M90" s="106">
        <v>935</v>
      </c>
      <c r="N90" s="106">
        <v>818</v>
      </c>
      <c r="O90" s="106">
        <v>143</v>
      </c>
      <c r="P90" s="106">
        <v>106</v>
      </c>
      <c r="Q90" s="106">
        <v>116</v>
      </c>
      <c r="R90" s="106">
        <v>12</v>
      </c>
      <c r="S90" s="106">
        <v>109</v>
      </c>
      <c r="T90" s="106">
        <v>0</v>
      </c>
      <c r="U90" s="106">
        <v>0</v>
      </c>
      <c r="V90" s="106">
        <v>0</v>
      </c>
      <c r="W90" s="106">
        <v>0</v>
      </c>
      <c r="X90" s="106">
        <v>0</v>
      </c>
      <c r="Y90" s="106">
        <v>0</v>
      </c>
      <c r="Z90" s="106">
        <v>0</v>
      </c>
      <c r="AA90" s="106">
        <v>0</v>
      </c>
      <c r="AB90" s="106">
        <v>0</v>
      </c>
      <c r="AC90" s="106">
        <v>0</v>
      </c>
      <c r="AD90" s="106">
        <v>0</v>
      </c>
      <c r="AE90" s="106">
        <v>0</v>
      </c>
      <c r="AF90" s="106">
        <v>0</v>
      </c>
      <c r="AG90" s="106">
        <v>0</v>
      </c>
      <c r="AH90" s="106">
        <v>0</v>
      </c>
      <c r="AI90" s="106">
        <v>0</v>
      </c>
      <c r="AJ90" s="106">
        <v>0</v>
      </c>
    </row>
    <row r="91" spans="1:36" x14ac:dyDescent="0.25">
      <c r="A91" s="104" t="s">
        <v>184</v>
      </c>
      <c r="B91" s="107">
        <v>37856</v>
      </c>
      <c r="C91" s="107">
        <v>45094</v>
      </c>
      <c r="D91" s="107">
        <v>67639</v>
      </c>
      <c r="E91" s="107">
        <v>79410</v>
      </c>
      <c r="F91" s="107">
        <v>86180</v>
      </c>
      <c r="G91" s="107">
        <v>84353</v>
      </c>
      <c r="H91" s="107">
        <v>108757</v>
      </c>
      <c r="I91" s="107">
        <v>105211</v>
      </c>
      <c r="J91" s="107">
        <v>108797</v>
      </c>
      <c r="K91" s="107">
        <v>128188</v>
      </c>
      <c r="L91" s="108">
        <v>137321.049</v>
      </c>
      <c r="M91" s="108">
        <v>150437.049</v>
      </c>
      <c r="N91" s="108">
        <v>160147.70499999999</v>
      </c>
      <c r="O91" s="108">
        <v>181708.804</v>
      </c>
      <c r="P91" s="107">
        <v>195538.46</v>
      </c>
      <c r="Q91" s="108">
        <v>205242.929</v>
      </c>
      <c r="R91" s="108">
        <v>215796.97500000001</v>
      </c>
      <c r="S91" s="108">
        <v>217268.318</v>
      </c>
      <c r="T91" s="108">
        <v>238598.622</v>
      </c>
      <c r="U91" s="108">
        <v>252626.236</v>
      </c>
      <c r="V91" s="107">
        <v>316614.95</v>
      </c>
      <c r="W91" s="108">
        <v>305620.19099999999</v>
      </c>
      <c r="X91" s="107">
        <v>362685.05</v>
      </c>
      <c r="Y91" s="108">
        <v>381566.51799999998</v>
      </c>
      <c r="Z91" s="108">
        <v>384878.897</v>
      </c>
      <c r="AA91" s="108">
        <v>398831.32400000002</v>
      </c>
      <c r="AB91" s="108">
        <v>436468.54200000002</v>
      </c>
      <c r="AC91" s="108">
        <v>454779.45899999997</v>
      </c>
      <c r="AD91" s="108">
        <v>455999.37199999997</v>
      </c>
      <c r="AE91" s="108">
        <v>476248.14600000001</v>
      </c>
      <c r="AF91" s="108">
        <v>472434.26899999997</v>
      </c>
      <c r="AG91" s="108">
        <v>542805.69700000004</v>
      </c>
      <c r="AH91" s="108">
        <v>517930.598</v>
      </c>
      <c r="AI91" s="108">
        <v>499438.53399999999</v>
      </c>
      <c r="AJ91" s="108">
        <v>492059.424</v>
      </c>
    </row>
    <row r="92" spans="1:36" x14ac:dyDescent="0.25">
      <c r="A92" s="104" t="s">
        <v>185</v>
      </c>
      <c r="B92" s="106">
        <v>0</v>
      </c>
      <c r="C92" s="106">
        <v>0</v>
      </c>
      <c r="D92" s="106">
        <v>0</v>
      </c>
      <c r="E92" s="106">
        <v>0</v>
      </c>
      <c r="F92" s="106">
        <v>0</v>
      </c>
      <c r="G92" s="106">
        <v>0</v>
      </c>
      <c r="H92" s="106">
        <v>0</v>
      </c>
      <c r="I92" s="106">
        <v>0</v>
      </c>
      <c r="J92" s="106">
        <v>0</v>
      </c>
      <c r="K92" s="106">
        <v>0</v>
      </c>
      <c r="L92" s="106">
        <v>0</v>
      </c>
      <c r="M92" s="106">
        <v>0</v>
      </c>
      <c r="N92" s="106">
        <v>0</v>
      </c>
      <c r="O92" s="106">
        <v>0</v>
      </c>
      <c r="P92" s="106">
        <v>0</v>
      </c>
      <c r="Q92" s="106">
        <v>0</v>
      </c>
      <c r="R92" s="106">
        <v>0</v>
      </c>
      <c r="S92" s="106">
        <v>0</v>
      </c>
      <c r="T92" s="106">
        <v>0</v>
      </c>
      <c r="U92" s="106">
        <v>0</v>
      </c>
      <c r="V92" s="106">
        <v>0</v>
      </c>
      <c r="W92" s="106">
        <v>0</v>
      </c>
      <c r="X92" s="106">
        <v>0</v>
      </c>
      <c r="Y92" s="106">
        <v>0</v>
      </c>
      <c r="Z92" s="106">
        <v>0</v>
      </c>
      <c r="AA92" s="106">
        <v>0</v>
      </c>
      <c r="AB92" s="106">
        <v>0</v>
      </c>
      <c r="AC92" s="106">
        <v>0</v>
      </c>
      <c r="AD92" s="106">
        <v>0</v>
      </c>
      <c r="AE92" s="106">
        <v>0</v>
      </c>
      <c r="AF92" s="106">
        <v>0</v>
      </c>
      <c r="AG92" s="106">
        <v>0</v>
      </c>
      <c r="AH92" s="106">
        <v>0</v>
      </c>
      <c r="AI92" s="106">
        <v>0</v>
      </c>
      <c r="AJ92" s="106">
        <v>0</v>
      </c>
    </row>
    <row r="93" spans="1:36" x14ac:dyDescent="0.25">
      <c r="A93" s="104" t="s">
        <v>186</v>
      </c>
      <c r="B93" s="107">
        <v>0</v>
      </c>
      <c r="C93" s="107">
        <v>0</v>
      </c>
      <c r="D93" s="107">
        <v>0</v>
      </c>
      <c r="E93" s="107">
        <v>0</v>
      </c>
      <c r="F93" s="107">
        <v>0</v>
      </c>
      <c r="G93" s="107">
        <v>0</v>
      </c>
      <c r="H93" s="107">
        <v>0</v>
      </c>
      <c r="I93" s="107">
        <v>0</v>
      </c>
      <c r="J93" s="107">
        <v>0</v>
      </c>
      <c r="K93" s="107">
        <v>0</v>
      </c>
      <c r="L93" s="107">
        <v>0</v>
      </c>
      <c r="M93" s="107">
        <v>0</v>
      </c>
      <c r="N93" s="107">
        <v>0</v>
      </c>
      <c r="O93" s="107">
        <v>0</v>
      </c>
      <c r="P93" s="107">
        <v>0</v>
      </c>
      <c r="Q93" s="107">
        <v>0</v>
      </c>
      <c r="R93" s="107">
        <v>0</v>
      </c>
      <c r="S93" s="107">
        <v>0</v>
      </c>
      <c r="T93" s="107">
        <v>0</v>
      </c>
      <c r="U93" s="107">
        <v>0</v>
      </c>
      <c r="V93" s="107">
        <v>3</v>
      </c>
      <c r="W93" s="107">
        <v>4</v>
      </c>
      <c r="X93" s="107">
        <v>3</v>
      </c>
      <c r="Y93" s="107">
        <v>10</v>
      </c>
      <c r="Z93" s="107">
        <v>20</v>
      </c>
      <c r="AA93" s="107">
        <v>31</v>
      </c>
      <c r="AB93" s="107">
        <v>27</v>
      </c>
      <c r="AC93" s="107">
        <v>34.83</v>
      </c>
      <c r="AD93" s="108">
        <v>39.054000000000002</v>
      </c>
      <c r="AE93" s="108">
        <v>35.795000000000002</v>
      </c>
      <c r="AF93" s="108">
        <v>36.137</v>
      </c>
      <c r="AG93" s="108">
        <v>23.920999999999999</v>
      </c>
      <c r="AH93" s="108">
        <v>22.922999999999998</v>
      </c>
      <c r="AI93" s="108">
        <v>25.202999999999999</v>
      </c>
      <c r="AJ93" s="108">
        <v>27.541</v>
      </c>
    </row>
    <row r="94" spans="1:36" x14ac:dyDescent="0.25">
      <c r="A94" s="104" t="s">
        <v>187</v>
      </c>
      <c r="B94" s="106">
        <v>0</v>
      </c>
      <c r="C94" s="106">
        <v>0</v>
      </c>
      <c r="D94" s="106">
        <v>0</v>
      </c>
      <c r="E94" s="106">
        <v>0</v>
      </c>
      <c r="F94" s="106">
        <v>223</v>
      </c>
      <c r="G94" s="106">
        <v>225</v>
      </c>
      <c r="H94" s="106">
        <v>52</v>
      </c>
      <c r="I94" s="106">
        <v>12</v>
      </c>
      <c r="J94" s="106">
        <v>13</v>
      </c>
      <c r="K94" s="106">
        <v>26</v>
      </c>
      <c r="L94" s="106">
        <v>39</v>
      </c>
      <c r="M94" s="106">
        <v>180</v>
      </c>
      <c r="N94" s="106">
        <v>124</v>
      </c>
      <c r="O94" s="106">
        <v>332</v>
      </c>
      <c r="P94" s="106">
        <v>1186</v>
      </c>
      <c r="Q94" s="105">
        <v>3694.8440000000001</v>
      </c>
      <c r="R94" s="106">
        <v>5198.1400000000003</v>
      </c>
      <c r="S94" s="105">
        <v>6224.1890000000003</v>
      </c>
      <c r="T94" s="105">
        <v>5551.1760000000004</v>
      </c>
      <c r="U94" s="105">
        <v>9051.3919999999998</v>
      </c>
      <c r="V94" s="105">
        <v>9564.9349999999995</v>
      </c>
      <c r="W94" s="105">
        <v>4955.0950000000003</v>
      </c>
      <c r="X94" s="106">
        <v>6190.9</v>
      </c>
      <c r="Y94" s="105">
        <v>6083.424</v>
      </c>
      <c r="Z94" s="105">
        <v>4473.9110000000001</v>
      </c>
      <c r="AA94" s="106">
        <v>4306.22</v>
      </c>
      <c r="AB94" s="105">
        <v>4764.1840000000002</v>
      </c>
      <c r="AC94" s="105">
        <v>4135.5060000000003</v>
      </c>
      <c r="AD94" s="105">
        <v>5351.8670000000002</v>
      </c>
      <c r="AE94" s="105">
        <v>5349.6959999999999</v>
      </c>
      <c r="AF94" s="105">
        <v>3904.5749999999998</v>
      </c>
      <c r="AG94" s="105">
        <v>5471.0129999999999</v>
      </c>
      <c r="AH94" s="105">
        <v>3968.5239999999999</v>
      </c>
      <c r="AI94" s="105">
        <v>4033.6039999999998</v>
      </c>
      <c r="AJ94" s="105">
        <v>3798.971</v>
      </c>
    </row>
    <row r="95" spans="1:36" x14ac:dyDescent="0.25">
      <c r="A95" s="104" t="s">
        <v>188</v>
      </c>
      <c r="B95" s="107">
        <v>159</v>
      </c>
      <c r="C95" s="107">
        <v>276</v>
      </c>
      <c r="D95" s="107">
        <v>774</v>
      </c>
      <c r="E95" s="107">
        <v>1881</v>
      </c>
      <c r="F95" s="107">
        <v>1968</v>
      </c>
      <c r="G95" s="107">
        <v>2059</v>
      </c>
      <c r="H95" s="107">
        <v>2516</v>
      </c>
      <c r="I95" s="107">
        <v>3390</v>
      </c>
      <c r="J95" s="107">
        <v>2586</v>
      </c>
      <c r="K95" s="107">
        <v>2658</v>
      </c>
      <c r="L95" s="107">
        <v>2678</v>
      </c>
      <c r="M95" s="107">
        <v>2868</v>
      </c>
      <c r="N95" s="107">
        <v>2959</v>
      </c>
      <c r="O95" s="107">
        <v>3144</v>
      </c>
      <c r="P95" s="107">
        <v>4278</v>
      </c>
      <c r="Q95" s="108">
        <v>5336.5969999999998</v>
      </c>
      <c r="R95" s="108">
        <v>5234.6310000000003</v>
      </c>
      <c r="S95" s="108">
        <v>5717.6850000000004</v>
      </c>
      <c r="T95" s="108">
        <v>5481.4709999999995</v>
      </c>
      <c r="U95" s="107">
        <v>5893.57</v>
      </c>
      <c r="V95" s="107">
        <v>6569.42</v>
      </c>
      <c r="W95" s="108">
        <v>19805.732</v>
      </c>
      <c r="X95" s="108">
        <v>13484.454</v>
      </c>
      <c r="Y95" s="108">
        <v>19684.181</v>
      </c>
      <c r="Z95" s="107">
        <v>23949.75</v>
      </c>
      <c r="AA95" s="107">
        <v>26906.07</v>
      </c>
      <c r="AB95" s="108">
        <v>27604.686000000002</v>
      </c>
      <c r="AC95" s="108">
        <v>29718.477999999999</v>
      </c>
      <c r="AD95" s="108">
        <v>36368.716999999997</v>
      </c>
      <c r="AE95" s="108">
        <v>40669.258999999998</v>
      </c>
      <c r="AF95" s="108">
        <v>42763.194000000003</v>
      </c>
      <c r="AG95" s="108">
        <v>25694.983</v>
      </c>
      <c r="AH95" s="108">
        <v>26166.851999999999</v>
      </c>
      <c r="AI95" s="108">
        <v>26518.614000000001</v>
      </c>
      <c r="AJ95" s="108">
        <v>25638.460999999999</v>
      </c>
    </row>
    <row r="96" spans="1:36" x14ac:dyDescent="0.25">
      <c r="A96" s="104" t="s">
        <v>189</v>
      </c>
      <c r="B96" s="106">
        <v>3790</v>
      </c>
      <c r="C96" s="106">
        <v>5732</v>
      </c>
      <c r="D96" s="106">
        <v>11402</v>
      </c>
      <c r="E96" s="106">
        <v>16595</v>
      </c>
      <c r="F96" s="106">
        <v>6379</v>
      </c>
      <c r="G96" s="106">
        <v>8088</v>
      </c>
      <c r="H96" s="106">
        <v>6303</v>
      </c>
      <c r="I96" s="106">
        <v>5316</v>
      </c>
      <c r="J96" s="106">
        <v>4091</v>
      </c>
      <c r="K96" s="106">
        <v>5300</v>
      </c>
      <c r="L96" s="106">
        <v>5165</v>
      </c>
      <c r="M96" s="106">
        <v>3145</v>
      </c>
      <c r="N96" s="106">
        <v>3593</v>
      </c>
      <c r="O96" s="106">
        <v>2886</v>
      </c>
      <c r="P96" s="106">
        <v>3648</v>
      </c>
      <c r="Q96" s="105">
        <v>3541.9839999999999</v>
      </c>
      <c r="R96" s="105">
        <v>3580.3029999999999</v>
      </c>
      <c r="S96" s="105">
        <v>3372.5259999999998</v>
      </c>
      <c r="T96" s="105">
        <v>2979.2420000000002</v>
      </c>
      <c r="U96" s="105">
        <v>9873.2559999999994</v>
      </c>
      <c r="V96" s="105">
        <v>12234.073</v>
      </c>
      <c r="W96" s="105">
        <v>14957.619000000001</v>
      </c>
      <c r="X96" s="105">
        <v>14665.847</v>
      </c>
      <c r="Y96" s="105">
        <v>11131.162</v>
      </c>
      <c r="Z96" s="105">
        <v>11924.498</v>
      </c>
      <c r="AA96" s="105">
        <v>14375.785</v>
      </c>
      <c r="AB96" s="105">
        <v>14717.112999999999</v>
      </c>
      <c r="AC96" s="105">
        <v>14288.362999999999</v>
      </c>
      <c r="AD96" s="105">
        <v>12771.476000000001</v>
      </c>
      <c r="AE96" s="105">
        <v>14545.035</v>
      </c>
      <c r="AF96" s="105">
        <v>11694.927</v>
      </c>
      <c r="AG96" s="105">
        <v>13388.147000000001</v>
      </c>
      <c r="AH96" s="105">
        <v>12867.012000000001</v>
      </c>
      <c r="AI96" s="105">
        <v>13474.087</v>
      </c>
      <c r="AJ96" s="105">
        <v>14170.643</v>
      </c>
    </row>
    <row r="97" spans="1:36" x14ac:dyDescent="0.25">
      <c r="A97" s="104" t="s">
        <v>190</v>
      </c>
      <c r="B97" s="107">
        <v>36028</v>
      </c>
      <c r="C97" s="107">
        <v>37330</v>
      </c>
      <c r="D97" s="107">
        <v>37734</v>
      </c>
      <c r="E97" s="107">
        <v>40124</v>
      </c>
      <c r="F97" s="107">
        <v>38304</v>
      </c>
      <c r="G97" s="107">
        <v>40673</v>
      </c>
      <c r="H97" s="107">
        <v>43237</v>
      </c>
      <c r="I97" s="107">
        <v>44121</v>
      </c>
      <c r="J97" s="107">
        <v>44353</v>
      </c>
      <c r="K97" s="107">
        <v>47909</v>
      </c>
      <c r="L97" s="107">
        <v>47073</v>
      </c>
      <c r="M97" s="107">
        <v>48584</v>
      </c>
      <c r="N97" s="107">
        <v>49681</v>
      </c>
      <c r="O97" s="107">
        <v>53251</v>
      </c>
      <c r="P97" s="107">
        <v>55352</v>
      </c>
      <c r="Q97" s="108">
        <v>61327.483999999997</v>
      </c>
      <c r="R97" s="108">
        <v>64326.252999999997</v>
      </c>
      <c r="S97" s="108">
        <v>72705.805999999997</v>
      </c>
      <c r="T97" s="108">
        <v>81037.966</v>
      </c>
      <c r="U97" s="108">
        <v>82105.998000000007</v>
      </c>
      <c r="V97" s="108">
        <v>84035.692999999999</v>
      </c>
      <c r="W97" s="108">
        <v>84567.089000000007</v>
      </c>
      <c r="X97" s="108">
        <v>91869.634000000005</v>
      </c>
      <c r="Y97" s="108">
        <v>100482.761</v>
      </c>
      <c r="Z97" s="108">
        <v>104623.929</v>
      </c>
      <c r="AA97" s="108">
        <v>113968.649</v>
      </c>
      <c r="AB97" s="108">
        <v>113275.75900000001</v>
      </c>
      <c r="AC97" s="108">
        <v>118087.125</v>
      </c>
      <c r="AD97" s="108">
        <v>114826.24400000001</v>
      </c>
      <c r="AE97" s="108">
        <v>120662.13400000001</v>
      </c>
      <c r="AF97" s="108">
        <v>123996.364</v>
      </c>
      <c r="AG97" s="108">
        <v>130395.345</v>
      </c>
      <c r="AH97" s="108">
        <v>125860.876</v>
      </c>
      <c r="AI97" s="107">
        <v>121918.63</v>
      </c>
      <c r="AJ97" s="108">
        <v>130885.61500000001</v>
      </c>
    </row>
    <row r="98" spans="1:36" x14ac:dyDescent="0.25">
      <c r="A98" s="104" t="s">
        <v>191</v>
      </c>
      <c r="B98" s="106">
        <v>34777</v>
      </c>
      <c r="C98" s="106">
        <v>36018</v>
      </c>
      <c r="D98" s="106">
        <v>37311</v>
      </c>
      <c r="E98" s="106">
        <v>39534</v>
      </c>
      <c r="F98" s="106">
        <v>37443</v>
      </c>
      <c r="G98" s="106">
        <v>40181</v>
      </c>
      <c r="H98" s="106">
        <v>42394</v>
      </c>
      <c r="I98" s="106">
        <v>43687</v>
      </c>
      <c r="J98" s="106">
        <v>43520</v>
      </c>
      <c r="K98" s="106">
        <v>46713</v>
      </c>
      <c r="L98" s="106">
        <v>46208</v>
      </c>
      <c r="M98" s="106">
        <v>47838</v>
      </c>
      <c r="N98" s="106">
        <v>48565</v>
      </c>
      <c r="O98" s="106">
        <v>55262</v>
      </c>
      <c r="P98" s="106">
        <v>57667</v>
      </c>
      <c r="Q98" s="105">
        <v>63885.601999999999</v>
      </c>
      <c r="R98" s="105">
        <v>66879.402000000002</v>
      </c>
      <c r="S98" s="105">
        <v>64947.678999999996</v>
      </c>
      <c r="T98" s="105">
        <v>72591.297999999995</v>
      </c>
      <c r="U98" s="105">
        <v>74040.923999999999</v>
      </c>
      <c r="V98" s="105">
        <v>75046.854000000007</v>
      </c>
      <c r="W98" s="105">
        <v>75488.407000000007</v>
      </c>
      <c r="X98" s="105">
        <v>80655.198000000004</v>
      </c>
      <c r="Y98" s="105">
        <v>89457.267999999996</v>
      </c>
      <c r="Z98" s="106">
        <v>92706.33</v>
      </c>
      <c r="AA98" s="105">
        <v>100237.06200000001</v>
      </c>
      <c r="AB98" s="105">
        <v>107688.769</v>
      </c>
      <c r="AC98" s="105">
        <v>112986.985</v>
      </c>
      <c r="AD98" s="105">
        <v>111042.84699999999</v>
      </c>
      <c r="AE98" s="105">
        <v>115968.522</v>
      </c>
      <c r="AF98" s="105">
        <v>119393.121</v>
      </c>
      <c r="AG98" s="105">
        <v>124487.386</v>
      </c>
      <c r="AH98" s="106">
        <v>121227.07</v>
      </c>
      <c r="AI98" s="105">
        <v>115797.368</v>
      </c>
      <c r="AJ98" s="105">
        <v>124502.99099999999</v>
      </c>
    </row>
    <row r="99" spans="1:36" ht="11.5" customHeight="1" x14ac:dyDescent="0.3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 ht="14.5" x14ac:dyDescent="0.35">
      <c r="A100" s="101" t="s">
        <v>69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36" ht="13" x14ac:dyDescent="0.25">
      <c r="A101" s="3" t="s">
        <v>255</v>
      </c>
      <c r="B101" s="2" t="s">
        <v>70</v>
      </c>
    </row>
    <row r="102" spans="1:36" ht="11.5" customHeight="1" x14ac:dyDescent="0.25"/>
    <row r="106" spans="1:36" x14ac:dyDescent="0.25">
      <c r="A106" s="15" t="s">
        <v>261</v>
      </c>
    </row>
    <row r="107" spans="1:36" x14ac:dyDescent="0.25">
      <c r="A107" s="16" t="s">
        <v>211</v>
      </c>
    </row>
    <row r="110" spans="1:36" ht="14.5" x14ac:dyDescent="0.35">
      <c r="A110" s="100" t="s">
        <v>301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:36" ht="14.5" x14ac:dyDescent="0.35">
      <c r="A111" s="100" t="s">
        <v>1</v>
      </c>
      <c r="B111" s="101" t="s">
        <v>300</v>
      </c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36" ht="14.5" x14ac:dyDescent="0.35">
      <c r="A112" s="100" t="s">
        <v>2</v>
      </c>
      <c r="B112" s="100" t="s">
        <v>284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 ht="14.5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 ht="14.5" x14ac:dyDescent="0.35">
      <c r="A114" s="101" t="s">
        <v>3</v>
      </c>
      <c r="B114"/>
      <c r="C114" s="100" t="s">
        <v>4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 ht="14.5" x14ac:dyDescent="0.35">
      <c r="A115" s="101" t="s">
        <v>203</v>
      </c>
      <c r="B115"/>
      <c r="C115" s="100" t="s">
        <v>210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 ht="14.5" x14ac:dyDescent="0.35">
      <c r="A116" s="101" t="s">
        <v>5</v>
      </c>
      <c r="B116"/>
      <c r="C116" s="100" t="s">
        <v>180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 ht="14.5" x14ac:dyDescent="0.35">
      <c r="A117" s="101" t="s">
        <v>7</v>
      </c>
      <c r="B117"/>
      <c r="C117" s="100" t="s">
        <v>8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 ht="14.5" x14ac:dyDescent="0.3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 x14ac:dyDescent="0.25">
      <c r="A119" s="111" t="s">
        <v>9</v>
      </c>
      <c r="B119" s="102" t="s">
        <v>10</v>
      </c>
      <c r="C119" s="102" t="s">
        <v>11</v>
      </c>
      <c r="D119" s="102" t="s">
        <v>12</v>
      </c>
      <c r="E119" s="102" t="s">
        <v>13</v>
      </c>
      <c r="F119" s="102" t="s">
        <v>14</v>
      </c>
      <c r="G119" s="102" t="s">
        <v>15</v>
      </c>
      <c r="H119" s="102" t="s">
        <v>16</v>
      </c>
      <c r="I119" s="102" t="s">
        <v>17</v>
      </c>
      <c r="J119" s="102" t="s">
        <v>18</v>
      </c>
      <c r="K119" s="102" t="s">
        <v>19</v>
      </c>
      <c r="L119" s="102" t="s">
        <v>20</v>
      </c>
      <c r="M119" s="102" t="s">
        <v>21</v>
      </c>
      <c r="N119" s="102" t="s">
        <v>22</v>
      </c>
      <c r="O119" s="102" t="s">
        <v>23</v>
      </c>
      <c r="P119" s="102" t="s">
        <v>24</v>
      </c>
      <c r="Q119" s="102" t="s">
        <v>25</v>
      </c>
      <c r="R119" s="102" t="s">
        <v>26</v>
      </c>
      <c r="S119" s="102" t="s">
        <v>27</v>
      </c>
      <c r="T119" s="102" t="s">
        <v>28</v>
      </c>
      <c r="U119" s="102" t="s">
        <v>29</v>
      </c>
      <c r="V119" s="102" t="s">
        <v>30</v>
      </c>
      <c r="W119" s="102" t="s">
        <v>31</v>
      </c>
      <c r="X119" s="102" t="s">
        <v>32</v>
      </c>
      <c r="Y119" s="102" t="s">
        <v>33</v>
      </c>
      <c r="Z119" s="102" t="s">
        <v>34</v>
      </c>
      <c r="AA119" s="102" t="s">
        <v>35</v>
      </c>
      <c r="AB119" s="102" t="s">
        <v>36</v>
      </c>
      <c r="AC119" s="102" t="s">
        <v>37</v>
      </c>
      <c r="AD119" s="102" t="s">
        <v>38</v>
      </c>
      <c r="AE119" s="102" t="s">
        <v>39</v>
      </c>
      <c r="AF119" s="102" t="s">
        <v>40</v>
      </c>
      <c r="AG119" s="102" t="s">
        <v>41</v>
      </c>
      <c r="AH119" s="102" t="s">
        <v>42</v>
      </c>
      <c r="AI119" s="102" t="s">
        <v>254</v>
      </c>
      <c r="AJ119" s="102" t="s">
        <v>285</v>
      </c>
    </row>
    <row r="120" spans="1:36" ht="14.5" x14ac:dyDescent="0.35">
      <c r="A120" s="103" t="s">
        <v>44</v>
      </c>
      <c r="B120" s="88" t="s">
        <v>45</v>
      </c>
      <c r="C120" s="88" t="s">
        <v>45</v>
      </c>
      <c r="D120" s="88" t="s">
        <v>45</v>
      </c>
      <c r="E120" s="88" t="s">
        <v>45</v>
      </c>
      <c r="F120" s="88" t="s">
        <v>45</v>
      </c>
      <c r="G120" s="88" t="s">
        <v>45</v>
      </c>
      <c r="H120" s="88" t="s">
        <v>45</v>
      </c>
      <c r="I120" s="88" t="s">
        <v>45</v>
      </c>
      <c r="J120" s="88" t="s">
        <v>45</v>
      </c>
      <c r="K120" s="88" t="s">
        <v>45</v>
      </c>
      <c r="L120" s="88" t="s">
        <v>45</v>
      </c>
      <c r="M120" s="88" t="s">
        <v>45</v>
      </c>
      <c r="N120" s="88" t="s">
        <v>45</v>
      </c>
      <c r="O120" s="88" t="s">
        <v>45</v>
      </c>
      <c r="P120" s="88" t="s">
        <v>45</v>
      </c>
      <c r="Q120" s="88" t="s">
        <v>45</v>
      </c>
      <c r="R120" s="88" t="s">
        <v>45</v>
      </c>
      <c r="S120" s="88" t="s">
        <v>45</v>
      </c>
      <c r="T120" s="88" t="s">
        <v>45</v>
      </c>
      <c r="U120" s="88" t="s">
        <v>45</v>
      </c>
      <c r="V120" s="88" t="s">
        <v>45</v>
      </c>
      <c r="W120" s="88" t="s">
        <v>45</v>
      </c>
      <c r="X120" s="88" t="s">
        <v>45</v>
      </c>
      <c r="Y120" s="88" t="s">
        <v>45</v>
      </c>
      <c r="Z120" s="88" t="s">
        <v>45</v>
      </c>
      <c r="AA120" s="88" t="s">
        <v>45</v>
      </c>
      <c r="AB120" s="88" t="s">
        <v>45</v>
      </c>
      <c r="AC120" s="88" t="s">
        <v>45</v>
      </c>
      <c r="AD120" s="88" t="s">
        <v>45</v>
      </c>
      <c r="AE120" s="88" t="s">
        <v>45</v>
      </c>
      <c r="AF120" s="88" t="s">
        <v>45</v>
      </c>
      <c r="AG120" s="88" t="s">
        <v>45</v>
      </c>
      <c r="AH120" s="88" t="s">
        <v>45</v>
      </c>
      <c r="AI120" s="88" t="s">
        <v>45</v>
      </c>
      <c r="AJ120" s="88" t="s">
        <v>45</v>
      </c>
    </row>
    <row r="121" spans="1:36" x14ac:dyDescent="0.25">
      <c r="A121" s="104" t="s">
        <v>49</v>
      </c>
      <c r="B121" s="107">
        <v>122</v>
      </c>
      <c r="C121" s="107">
        <v>122</v>
      </c>
      <c r="D121" s="107">
        <v>122</v>
      </c>
      <c r="E121" s="107">
        <v>122</v>
      </c>
      <c r="F121" s="107">
        <v>141</v>
      </c>
      <c r="G121" s="107">
        <v>141</v>
      </c>
      <c r="H121" s="107">
        <v>159</v>
      </c>
      <c r="I121" s="107">
        <v>145</v>
      </c>
      <c r="J121" s="107">
        <v>183</v>
      </c>
      <c r="K121" s="107">
        <v>146</v>
      </c>
      <c r="L121" s="107">
        <v>144</v>
      </c>
      <c r="M121" s="107">
        <v>152</v>
      </c>
      <c r="N121" s="107">
        <v>152</v>
      </c>
      <c r="O121" s="107">
        <v>152</v>
      </c>
      <c r="P121" s="107">
        <v>155</v>
      </c>
      <c r="Q121" s="107">
        <v>153</v>
      </c>
      <c r="R121" s="107">
        <v>153</v>
      </c>
      <c r="S121" s="107">
        <v>148</v>
      </c>
      <c r="T121" s="107">
        <v>153</v>
      </c>
      <c r="U121" s="107">
        <v>162</v>
      </c>
      <c r="V121" s="107">
        <v>193</v>
      </c>
      <c r="W121" s="107">
        <v>169</v>
      </c>
      <c r="X121" s="107">
        <v>177</v>
      </c>
      <c r="Y121" s="107">
        <v>187</v>
      </c>
      <c r="Z121" s="107">
        <v>242</v>
      </c>
      <c r="AA121" s="108">
        <v>259.59100000000001</v>
      </c>
      <c r="AB121" s="108">
        <v>244.149</v>
      </c>
      <c r="AC121" s="108">
        <v>260.24700000000001</v>
      </c>
      <c r="AD121" s="108">
        <v>241.15899999999999</v>
      </c>
      <c r="AE121" s="108">
        <v>227.077</v>
      </c>
      <c r="AF121" s="108">
        <v>223.43899999999999</v>
      </c>
      <c r="AG121" s="108">
        <v>235.15700000000001</v>
      </c>
      <c r="AH121" s="107">
        <v>232.11</v>
      </c>
      <c r="AI121" s="108">
        <v>235.73500000000001</v>
      </c>
      <c r="AJ121" s="107">
        <v>233.88</v>
      </c>
    </row>
    <row r="122" spans="1:36" x14ac:dyDescent="0.25">
      <c r="A122" s="104" t="s">
        <v>50</v>
      </c>
      <c r="B122" s="106">
        <v>122</v>
      </c>
      <c r="C122" s="106">
        <v>122</v>
      </c>
      <c r="D122" s="106">
        <v>122</v>
      </c>
      <c r="E122" s="106">
        <v>122</v>
      </c>
      <c r="F122" s="106">
        <v>141</v>
      </c>
      <c r="G122" s="106">
        <v>141</v>
      </c>
      <c r="H122" s="106">
        <v>159</v>
      </c>
      <c r="I122" s="106">
        <v>145</v>
      </c>
      <c r="J122" s="106">
        <v>183</v>
      </c>
      <c r="K122" s="106">
        <v>296</v>
      </c>
      <c r="L122" s="106">
        <v>283</v>
      </c>
      <c r="M122" s="106">
        <v>305</v>
      </c>
      <c r="N122" s="106">
        <v>295</v>
      </c>
      <c r="O122" s="106">
        <v>291</v>
      </c>
      <c r="P122" s="106">
        <v>354</v>
      </c>
      <c r="Q122" s="106">
        <v>381</v>
      </c>
      <c r="R122" s="106">
        <v>363</v>
      </c>
      <c r="S122" s="106">
        <v>336</v>
      </c>
      <c r="T122" s="106">
        <v>356</v>
      </c>
      <c r="U122" s="106">
        <v>338</v>
      </c>
      <c r="V122" s="106">
        <v>374</v>
      </c>
      <c r="W122" s="106">
        <v>333</v>
      </c>
      <c r="X122" s="106">
        <v>339</v>
      </c>
      <c r="Y122" s="106">
        <v>244</v>
      </c>
      <c r="Z122" s="106">
        <v>215</v>
      </c>
      <c r="AA122" s="106">
        <v>225</v>
      </c>
      <c r="AB122" s="106">
        <v>213</v>
      </c>
      <c r="AC122" s="106">
        <v>207.77</v>
      </c>
      <c r="AD122" s="105">
        <v>75.975999999999999</v>
      </c>
      <c r="AE122" s="105">
        <v>74.084999999999994</v>
      </c>
      <c r="AF122" s="105">
        <v>68.744</v>
      </c>
      <c r="AG122" s="105">
        <v>73.804000000000002</v>
      </c>
      <c r="AH122" s="105">
        <v>41.744999999999997</v>
      </c>
      <c r="AI122" s="105">
        <v>40.473999999999997</v>
      </c>
      <c r="AJ122" s="105">
        <v>40.844999999999999</v>
      </c>
    </row>
    <row r="123" spans="1:36" x14ac:dyDescent="0.25">
      <c r="A123" s="104" t="s">
        <v>204</v>
      </c>
      <c r="B123" s="107">
        <v>2597576</v>
      </c>
      <c r="C123" s="107">
        <v>2541880</v>
      </c>
      <c r="D123" s="107">
        <v>2676440</v>
      </c>
      <c r="E123" s="107">
        <v>2564638</v>
      </c>
      <c r="F123" s="107">
        <v>2297951</v>
      </c>
      <c r="G123" s="107">
        <v>2240431</v>
      </c>
      <c r="H123" s="107">
        <v>2398069</v>
      </c>
      <c r="I123" s="107">
        <v>2209126</v>
      </c>
      <c r="J123" s="107">
        <v>2174486</v>
      </c>
      <c r="K123" s="107">
        <v>2071576</v>
      </c>
      <c r="L123" s="108">
        <v>2053461.682</v>
      </c>
      <c r="M123" s="108">
        <v>2188623.8530000001</v>
      </c>
      <c r="N123" s="108">
        <v>2147856.4169999999</v>
      </c>
      <c r="O123" s="108">
        <v>2345284.8259999999</v>
      </c>
      <c r="P123" s="108">
        <v>2515768.3190000001</v>
      </c>
      <c r="Q123" s="108">
        <v>2510809.5109999999</v>
      </c>
      <c r="R123" s="108">
        <v>2476369.4079999998</v>
      </c>
      <c r="S123" s="108">
        <v>2385544.2990000001</v>
      </c>
      <c r="T123" s="108">
        <v>2391909.8990000002</v>
      </c>
      <c r="U123" s="108">
        <v>2351669.0920000002</v>
      </c>
      <c r="V123" s="108">
        <v>2568455.9470000002</v>
      </c>
      <c r="W123" s="108">
        <v>2358050.318</v>
      </c>
      <c r="X123" s="108">
        <v>2404284.3760000002</v>
      </c>
      <c r="Y123" s="108">
        <v>2394691.6349999998</v>
      </c>
      <c r="Z123" s="108">
        <v>2211782.4819999998</v>
      </c>
      <c r="AA123" s="108">
        <v>2250832.855</v>
      </c>
      <c r="AB123" s="108">
        <v>2347579.128</v>
      </c>
      <c r="AC123" s="108">
        <v>2357469.0469999998</v>
      </c>
      <c r="AD123" s="108">
        <v>2304364.9720000001</v>
      </c>
      <c r="AE123" s="108">
        <v>2282437.554</v>
      </c>
      <c r="AF123" s="108">
        <v>2194227.3110000002</v>
      </c>
      <c r="AG123" s="108">
        <v>2248784.7940000002</v>
      </c>
      <c r="AH123" s="108">
        <v>2065398.1939999999</v>
      </c>
      <c r="AI123" s="108">
        <v>1989697.841</v>
      </c>
      <c r="AJ123" s="108">
        <v>1958071.9029999999</v>
      </c>
    </row>
    <row r="124" spans="1:36" x14ac:dyDescent="0.25">
      <c r="A124" s="104" t="s">
        <v>205</v>
      </c>
      <c r="B124" s="106">
        <v>315</v>
      </c>
      <c r="C124" s="106">
        <v>281</v>
      </c>
      <c r="D124" s="106">
        <v>140</v>
      </c>
      <c r="E124" s="106">
        <v>2187</v>
      </c>
      <c r="F124" s="106">
        <v>448</v>
      </c>
      <c r="G124" s="106">
        <v>4019</v>
      </c>
      <c r="H124" s="106">
        <v>4334</v>
      </c>
      <c r="I124" s="106">
        <v>11144</v>
      </c>
      <c r="J124" s="106">
        <v>11896</v>
      </c>
      <c r="K124" s="106">
        <v>11668</v>
      </c>
      <c r="L124" s="106">
        <v>11606</v>
      </c>
      <c r="M124" s="106">
        <v>10113</v>
      </c>
      <c r="N124" s="106">
        <v>12605</v>
      </c>
      <c r="O124" s="106">
        <v>14721</v>
      </c>
      <c r="P124" s="106">
        <v>20425.2</v>
      </c>
      <c r="Q124" s="105">
        <v>19521.902999999998</v>
      </c>
      <c r="R124" s="105">
        <v>20701.260999999999</v>
      </c>
      <c r="S124" s="105">
        <v>20927.699000000001</v>
      </c>
      <c r="T124" s="106">
        <v>24163.93</v>
      </c>
      <c r="U124" s="105">
        <v>23545.704000000002</v>
      </c>
      <c r="V124" s="105">
        <v>28024.761999999999</v>
      </c>
      <c r="W124" s="105">
        <v>27678.761999999999</v>
      </c>
      <c r="X124" s="105">
        <v>31854.960999999999</v>
      </c>
      <c r="Y124" s="105">
        <v>33786.678</v>
      </c>
      <c r="Z124" s="105">
        <v>33632.419000000002</v>
      </c>
      <c r="AA124" s="105">
        <v>31481.912</v>
      </c>
      <c r="AB124" s="105">
        <v>32073.914000000001</v>
      </c>
      <c r="AC124" s="105">
        <v>33197.271999999997</v>
      </c>
      <c r="AD124" s="105">
        <v>23644.208999999999</v>
      </c>
      <c r="AE124" s="105">
        <v>21881.309000000001</v>
      </c>
      <c r="AF124" s="105">
        <v>21516.396000000001</v>
      </c>
      <c r="AG124" s="105">
        <v>21223.606</v>
      </c>
      <c r="AH124" s="105">
        <v>19235.800999999999</v>
      </c>
      <c r="AI124" s="105">
        <v>16159.897000000001</v>
      </c>
      <c r="AJ124" s="105">
        <v>17481.813999999998</v>
      </c>
    </row>
    <row r="125" spans="1:36" x14ac:dyDescent="0.25">
      <c r="A125" s="104" t="s">
        <v>206</v>
      </c>
      <c r="B125" s="107">
        <v>12941</v>
      </c>
      <c r="C125" s="107">
        <v>24232</v>
      </c>
      <c r="D125" s="107">
        <v>56421</v>
      </c>
      <c r="E125" s="107">
        <v>58926</v>
      </c>
      <c r="F125" s="107">
        <v>42473</v>
      </c>
      <c r="G125" s="107">
        <v>42336</v>
      </c>
      <c r="H125" s="107">
        <v>37818</v>
      </c>
      <c r="I125" s="107">
        <v>41505</v>
      </c>
      <c r="J125" s="107">
        <v>32504</v>
      </c>
      <c r="K125" s="107">
        <v>27886</v>
      </c>
      <c r="L125" s="107">
        <v>25899</v>
      </c>
      <c r="M125" s="107">
        <v>34878</v>
      </c>
      <c r="N125" s="107">
        <v>23055</v>
      </c>
      <c r="O125" s="107">
        <v>21751</v>
      </c>
      <c r="P125" s="107">
        <v>25371</v>
      </c>
      <c r="Q125" s="107">
        <v>25448</v>
      </c>
      <c r="R125" s="107">
        <v>29397</v>
      </c>
      <c r="S125" s="107">
        <v>28212</v>
      </c>
      <c r="T125" s="107">
        <v>21332</v>
      </c>
      <c r="U125" s="107">
        <v>26638</v>
      </c>
      <c r="V125" s="108">
        <v>54601.436999999998</v>
      </c>
      <c r="W125" s="108">
        <v>52816.500999999997</v>
      </c>
      <c r="X125" s="108">
        <v>50641.307999999997</v>
      </c>
      <c r="Y125" s="108">
        <v>51418.286999999997</v>
      </c>
      <c r="Z125" s="108">
        <v>51366.067000000003</v>
      </c>
      <c r="AA125" s="108">
        <v>50803.481</v>
      </c>
      <c r="AB125" s="108">
        <v>49657.087</v>
      </c>
      <c r="AC125" s="108">
        <v>46848.663</v>
      </c>
      <c r="AD125" s="108">
        <v>50518.953999999998</v>
      </c>
      <c r="AE125" s="108">
        <v>40854.328999999998</v>
      </c>
      <c r="AF125" s="108">
        <v>40446.298999999999</v>
      </c>
      <c r="AG125" s="107">
        <v>42829.89</v>
      </c>
      <c r="AH125" s="108">
        <v>40371.046999999999</v>
      </c>
      <c r="AI125" s="107">
        <v>37461.49</v>
      </c>
      <c r="AJ125" s="107">
        <v>40600.67</v>
      </c>
    </row>
    <row r="126" spans="1:36" x14ac:dyDescent="0.25">
      <c r="A126" s="104" t="s">
        <v>207</v>
      </c>
      <c r="B126" s="106">
        <v>0</v>
      </c>
      <c r="C126" s="106">
        <v>0</v>
      </c>
      <c r="D126" s="106">
        <v>0</v>
      </c>
      <c r="E126" s="106">
        <v>0</v>
      </c>
      <c r="F126" s="106">
        <v>0</v>
      </c>
      <c r="G126" s="106">
        <v>0</v>
      </c>
      <c r="H126" s="106">
        <v>0</v>
      </c>
      <c r="I126" s="106">
        <v>0</v>
      </c>
      <c r="J126" s="106">
        <v>0</v>
      </c>
      <c r="K126" s="106">
        <v>0</v>
      </c>
      <c r="L126" s="106">
        <v>0</v>
      </c>
      <c r="M126" s="106">
        <v>0</v>
      </c>
      <c r="N126" s="106">
        <v>0</v>
      </c>
      <c r="O126" s="106">
        <v>0</v>
      </c>
      <c r="P126" s="106">
        <v>0</v>
      </c>
      <c r="Q126" s="106">
        <v>0</v>
      </c>
      <c r="R126" s="106">
        <v>0</v>
      </c>
      <c r="S126" s="106">
        <v>0</v>
      </c>
      <c r="T126" s="106">
        <v>0</v>
      </c>
      <c r="U126" s="106">
        <v>0</v>
      </c>
      <c r="V126" s="106">
        <v>1874.1</v>
      </c>
      <c r="W126" s="106">
        <v>1850.9</v>
      </c>
      <c r="X126" s="106">
        <v>1869.8</v>
      </c>
      <c r="Y126" s="106">
        <v>1683.4</v>
      </c>
      <c r="Z126" s="106">
        <v>1580.5</v>
      </c>
      <c r="AA126" s="105">
        <v>9670.2430000000004</v>
      </c>
      <c r="AB126" s="105">
        <v>10091.543</v>
      </c>
      <c r="AC126" s="105">
        <v>9837.5570000000007</v>
      </c>
      <c r="AD126" s="105">
        <v>9657.6710000000003</v>
      </c>
      <c r="AE126" s="105">
        <v>9868.2710000000006</v>
      </c>
      <c r="AF126" s="105">
        <v>35615.353000000003</v>
      </c>
      <c r="AG126" s="105">
        <v>38323.419000000002</v>
      </c>
      <c r="AH126" s="106">
        <v>103594.13</v>
      </c>
      <c r="AI126" s="105">
        <v>101735.311</v>
      </c>
      <c r="AJ126" s="105">
        <v>218046.15100000001</v>
      </c>
    </row>
    <row r="127" spans="1:36" x14ac:dyDescent="0.25">
      <c r="A127" s="104" t="s">
        <v>208</v>
      </c>
      <c r="B127" s="107">
        <v>2456567</v>
      </c>
      <c r="C127" s="107">
        <v>2402581</v>
      </c>
      <c r="D127" s="107">
        <v>2521885</v>
      </c>
      <c r="E127" s="107">
        <v>2410211</v>
      </c>
      <c r="F127" s="107">
        <v>2156461</v>
      </c>
      <c r="G127" s="107">
        <v>2072582</v>
      </c>
      <c r="H127" s="107">
        <v>2213381</v>
      </c>
      <c r="I127" s="107">
        <v>2025833</v>
      </c>
      <c r="J127" s="107">
        <v>2001648</v>
      </c>
      <c r="K127" s="107">
        <v>1907203</v>
      </c>
      <c r="L127" s="108">
        <v>1894003.8970000001</v>
      </c>
      <c r="M127" s="108">
        <v>2013654.3359999999</v>
      </c>
      <c r="N127" s="108">
        <v>1978974.5260000001</v>
      </c>
      <c r="O127" s="108">
        <v>2154792.6239999998</v>
      </c>
      <c r="P127" s="108">
        <v>2297754.0380000002</v>
      </c>
      <c r="Q127" s="108">
        <v>2292112.9589999998</v>
      </c>
      <c r="R127" s="108">
        <v>2260930.7459999998</v>
      </c>
      <c r="S127" s="108">
        <v>2154454.003</v>
      </c>
      <c r="T127" s="108">
        <v>2164819.3909999998</v>
      </c>
      <c r="U127" s="108">
        <v>2126501.1779999998</v>
      </c>
      <c r="V127" s="108">
        <v>2316771.9980000001</v>
      </c>
      <c r="W127" s="108">
        <v>2142592.6889999998</v>
      </c>
      <c r="X127" s="108">
        <v>2174537.463</v>
      </c>
      <c r="Y127" s="108">
        <v>2171021.3339999998</v>
      </c>
      <c r="Z127" s="108">
        <v>1993235.284</v>
      </c>
      <c r="AA127" s="108">
        <v>2017086.6170000001</v>
      </c>
      <c r="AB127" s="108">
        <v>2103301.9449999998</v>
      </c>
      <c r="AC127" s="108">
        <v>2115118.1310000001</v>
      </c>
      <c r="AD127" s="108">
        <v>2067341.314</v>
      </c>
      <c r="AE127" s="108">
        <v>2056887.959</v>
      </c>
      <c r="AF127" s="108">
        <v>1975122.446</v>
      </c>
      <c r="AG127" s="108">
        <v>2004255.625</v>
      </c>
      <c r="AH127" s="108">
        <v>1843054.2590000001</v>
      </c>
      <c r="AI127" s="108">
        <v>1765070.1710000001</v>
      </c>
      <c r="AJ127" s="108">
        <v>1740025.7520000001</v>
      </c>
    </row>
    <row r="128" spans="1:36" x14ac:dyDescent="0.25">
      <c r="A128" s="104" t="s">
        <v>179</v>
      </c>
      <c r="B128" s="106">
        <v>2610832</v>
      </c>
      <c r="C128" s="106">
        <v>2566393</v>
      </c>
      <c r="D128" s="106">
        <v>2733001</v>
      </c>
      <c r="E128" s="106">
        <v>2625751</v>
      </c>
      <c r="F128" s="106">
        <v>2340872</v>
      </c>
      <c r="G128" s="106">
        <v>2286786</v>
      </c>
      <c r="H128" s="106">
        <v>2440221</v>
      </c>
      <c r="I128" s="106">
        <v>2261775</v>
      </c>
      <c r="J128" s="106">
        <v>2218886</v>
      </c>
      <c r="K128" s="106">
        <v>2111280</v>
      </c>
      <c r="L128" s="105">
        <v>2091105.682</v>
      </c>
      <c r="M128" s="105">
        <v>2233767.8530000001</v>
      </c>
      <c r="N128" s="105">
        <v>2183659.4169999999</v>
      </c>
      <c r="O128" s="105">
        <v>2381895.8259999999</v>
      </c>
      <c r="P128" s="105">
        <v>2561763.5189999999</v>
      </c>
      <c r="Q128" s="105">
        <v>2556007.4139999999</v>
      </c>
      <c r="R128" s="105">
        <v>2526677.6690000002</v>
      </c>
      <c r="S128" s="105">
        <v>2434871.9980000001</v>
      </c>
      <c r="T128" s="105">
        <v>2437608.8289999999</v>
      </c>
      <c r="U128" s="105">
        <v>2402028.7960000001</v>
      </c>
      <c r="V128" s="105">
        <v>2651263.1460000002</v>
      </c>
      <c r="W128" s="105">
        <v>2438709.5809999998</v>
      </c>
      <c r="X128" s="105">
        <v>2486942.645</v>
      </c>
      <c r="Y128" s="106">
        <v>2479953.6</v>
      </c>
      <c r="Z128" s="105">
        <v>2296753.9679999999</v>
      </c>
      <c r="AA128" s="105">
        <v>2333083.6570000001</v>
      </c>
      <c r="AB128" s="106">
        <v>2429278.98</v>
      </c>
      <c r="AC128" s="105">
        <v>2437462.5049999999</v>
      </c>
      <c r="AD128" s="105">
        <v>2378362.952</v>
      </c>
      <c r="AE128" s="106">
        <v>2345020.2000000002</v>
      </c>
      <c r="AF128" s="105">
        <v>2256035.3110000002</v>
      </c>
      <c r="AG128" s="105">
        <v>2312676.9369999999</v>
      </c>
      <c r="AH128" s="105">
        <v>2124814.6770000001</v>
      </c>
      <c r="AI128" s="105">
        <v>2043123.9669999999</v>
      </c>
      <c r="AJ128" s="105">
        <v>2015961.352</v>
      </c>
    </row>
    <row r="129" spans="1:36" x14ac:dyDescent="0.25">
      <c r="A129" s="104" t="s">
        <v>209</v>
      </c>
      <c r="B129" s="107">
        <v>2597891</v>
      </c>
      <c r="C129" s="107">
        <v>2542161</v>
      </c>
      <c r="D129" s="107">
        <v>2676580</v>
      </c>
      <c r="E129" s="107">
        <v>2566825</v>
      </c>
      <c r="F129" s="107">
        <v>2298399</v>
      </c>
      <c r="G129" s="107">
        <v>2244450</v>
      </c>
      <c r="H129" s="107">
        <v>2402403</v>
      </c>
      <c r="I129" s="107">
        <v>2220270</v>
      </c>
      <c r="J129" s="107">
        <v>2186382</v>
      </c>
      <c r="K129" s="107">
        <v>2083394</v>
      </c>
      <c r="L129" s="108">
        <v>2065206.682</v>
      </c>
      <c r="M129" s="108">
        <v>2198889.8530000001</v>
      </c>
      <c r="N129" s="108">
        <v>2160604.4169999999</v>
      </c>
      <c r="O129" s="108">
        <v>2360144.8259999999</v>
      </c>
      <c r="P129" s="108">
        <v>2536392.5189999999</v>
      </c>
      <c r="Q129" s="108">
        <v>2530559.4139999999</v>
      </c>
      <c r="R129" s="108">
        <v>2497280.6690000002</v>
      </c>
      <c r="S129" s="108">
        <v>2406659.9980000001</v>
      </c>
      <c r="T129" s="108">
        <v>2416276.8289999999</v>
      </c>
      <c r="U129" s="108">
        <v>2375390.7960000001</v>
      </c>
      <c r="V129" s="108">
        <v>2596661.7089999998</v>
      </c>
      <c r="W129" s="107">
        <v>2385893.08</v>
      </c>
      <c r="X129" s="108">
        <v>2436301.3369999998</v>
      </c>
      <c r="Y129" s="108">
        <v>2428535.3130000001</v>
      </c>
      <c r="Z129" s="108">
        <v>2245387.9010000001</v>
      </c>
      <c r="AA129" s="108">
        <v>2282280.176</v>
      </c>
      <c r="AB129" s="108">
        <v>2379621.8930000002</v>
      </c>
      <c r="AC129" s="108">
        <v>2390613.8420000002</v>
      </c>
      <c r="AD129" s="108">
        <v>2327843.9980000001</v>
      </c>
      <c r="AE129" s="108">
        <v>2304165.8709999998</v>
      </c>
      <c r="AF129" s="108">
        <v>2215589.0120000001</v>
      </c>
      <c r="AG129" s="108">
        <v>2269847.0469999998</v>
      </c>
      <c r="AH129" s="107">
        <v>2084443.63</v>
      </c>
      <c r="AI129" s="108">
        <v>2005662.477</v>
      </c>
      <c r="AJ129" s="108">
        <v>1975360.682</v>
      </c>
    </row>
    <row r="130" spans="1:36" ht="14.5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 ht="14.5" x14ac:dyDescent="0.35">
      <c r="A131" s="101" t="s">
        <v>69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 ht="13" x14ac:dyDescent="0.25">
      <c r="A132" s="3" t="s">
        <v>255</v>
      </c>
      <c r="B132" s="2" t="s">
        <v>70</v>
      </c>
    </row>
  </sheetData>
  <hyperlinks>
    <hyperlink ref="A1" r:id="rId1" xr:uid="{00000000-0004-0000-0400-000000000000}"/>
    <hyperlink ref="A45" r:id="rId2" xr:uid="{00000000-0004-0000-0400-000001000000}"/>
    <hyperlink ref="A106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AK93"/>
  <sheetViews>
    <sheetView topLeftCell="A92" workbookViewId="0">
      <selection activeCell="E56" sqref="E56"/>
    </sheetView>
  </sheetViews>
  <sheetFormatPr defaultRowHeight="12.5" x14ac:dyDescent="0.25"/>
  <cols>
    <col min="1" max="2" width="31.26953125" style="16" customWidth="1"/>
    <col min="3" max="29" width="9.1796875" style="16" customWidth="1"/>
    <col min="30" max="16384" width="8.7265625" style="16"/>
  </cols>
  <sheetData>
    <row r="1" spans="1:37" x14ac:dyDescent="0.25">
      <c r="A1" s="15" t="s">
        <v>262</v>
      </c>
    </row>
    <row r="2" spans="1:37" x14ac:dyDescent="0.25">
      <c r="A2" s="16" t="s">
        <v>223</v>
      </c>
    </row>
    <row r="4" spans="1:37" x14ac:dyDescent="0.25">
      <c r="A4" s="2" t="s">
        <v>307</v>
      </c>
    </row>
    <row r="5" spans="1:37" ht="13" x14ac:dyDescent="0.25">
      <c r="A5" s="2" t="s">
        <v>1</v>
      </c>
      <c r="B5" s="3" t="s">
        <v>263</v>
      </c>
    </row>
    <row r="6" spans="1:37" x14ac:dyDescent="0.25">
      <c r="A6" s="2" t="s">
        <v>2</v>
      </c>
      <c r="B6" s="112">
        <v>45832.458333333336</v>
      </c>
    </row>
    <row r="8" spans="1:37" ht="13" x14ac:dyDescent="0.25">
      <c r="A8" s="3" t="s">
        <v>3</v>
      </c>
      <c r="C8" s="2" t="s">
        <v>4</v>
      </c>
    </row>
    <row r="9" spans="1:37" s="19" customFormat="1" ht="13" x14ac:dyDescent="0.3">
      <c r="A9" s="18" t="s">
        <v>5</v>
      </c>
      <c r="C9" s="18" t="s">
        <v>6</v>
      </c>
    </row>
    <row r="10" spans="1:37" ht="13" x14ac:dyDescent="0.25">
      <c r="A10" s="3" t="s">
        <v>7</v>
      </c>
      <c r="C10" s="2" t="s">
        <v>8</v>
      </c>
    </row>
    <row r="12" spans="1:37" ht="13" x14ac:dyDescent="0.25">
      <c r="A12" s="98" t="s">
        <v>9</v>
      </c>
      <c r="B12" s="98" t="s">
        <v>9</v>
      </c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14</v>
      </c>
      <c r="H12" s="4" t="s">
        <v>15</v>
      </c>
      <c r="I12" s="4" t="s">
        <v>16</v>
      </c>
      <c r="J12" s="4" t="s">
        <v>17</v>
      </c>
      <c r="K12" s="4" t="s">
        <v>18</v>
      </c>
      <c r="L12" s="4" t="s">
        <v>19</v>
      </c>
      <c r="M12" s="4" t="s">
        <v>20</v>
      </c>
      <c r="N12" s="4" t="s">
        <v>21</v>
      </c>
      <c r="O12" s="4" t="s">
        <v>22</v>
      </c>
      <c r="P12" s="4" t="s">
        <v>23</v>
      </c>
      <c r="Q12" s="4" t="s">
        <v>24</v>
      </c>
      <c r="R12" s="4" t="s">
        <v>25</v>
      </c>
      <c r="S12" s="4" t="s">
        <v>26</v>
      </c>
      <c r="T12" s="4" t="s">
        <v>27</v>
      </c>
      <c r="U12" s="4" t="s">
        <v>28</v>
      </c>
      <c r="V12" s="4" t="s">
        <v>29</v>
      </c>
      <c r="W12" s="4" t="s">
        <v>30</v>
      </c>
      <c r="X12" s="4" t="s">
        <v>31</v>
      </c>
      <c r="Y12" s="4" t="s">
        <v>32</v>
      </c>
      <c r="Z12" s="4" t="s">
        <v>33</v>
      </c>
      <c r="AA12" s="4" t="s">
        <v>34</v>
      </c>
      <c r="AB12" s="4" t="s">
        <v>35</v>
      </c>
      <c r="AC12" s="4" t="s">
        <v>36</v>
      </c>
      <c r="AD12" s="4" t="s">
        <v>37</v>
      </c>
      <c r="AE12" s="4" t="s">
        <v>38</v>
      </c>
      <c r="AF12" s="4" t="s">
        <v>39</v>
      </c>
      <c r="AG12" s="4" t="s">
        <v>40</v>
      </c>
      <c r="AH12" s="4" t="s">
        <v>41</v>
      </c>
      <c r="AI12" s="4" t="s">
        <v>42</v>
      </c>
      <c r="AJ12" s="4" t="s">
        <v>254</v>
      </c>
      <c r="AK12" s="4" t="s">
        <v>285</v>
      </c>
    </row>
    <row r="13" spans="1:37" ht="13" x14ac:dyDescent="0.25">
      <c r="A13" s="5" t="s">
        <v>43</v>
      </c>
      <c r="B13" s="5" t="s">
        <v>44</v>
      </c>
      <c r="C13" s="17" t="s">
        <v>45</v>
      </c>
      <c r="D13" s="17" t="s">
        <v>45</v>
      </c>
      <c r="E13" s="17" t="s">
        <v>45</v>
      </c>
      <c r="F13" s="17" t="s">
        <v>45</v>
      </c>
      <c r="G13" s="17" t="s">
        <v>45</v>
      </c>
      <c r="H13" s="17" t="s">
        <v>45</v>
      </c>
      <c r="I13" s="17" t="s">
        <v>45</v>
      </c>
      <c r="J13" s="17" t="s">
        <v>45</v>
      </c>
      <c r="K13" s="17" t="s">
        <v>45</v>
      </c>
      <c r="L13" s="17" t="s">
        <v>45</v>
      </c>
      <c r="M13" s="17" t="s">
        <v>45</v>
      </c>
      <c r="N13" s="17" t="s">
        <v>45</v>
      </c>
      <c r="O13" s="17" t="s">
        <v>45</v>
      </c>
      <c r="P13" s="17" t="s">
        <v>45</v>
      </c>
      <c r="Q13" s="17" t="s">
        <v>45</v>
      </c>
      <c r="R13" s="17" t="s">
        <v>45</v>
      </c>
      <c r="S13" s="17" t="s">
        <v>45</v>
      </c>
      <c r="T13" s="17" t="s">
        <v>45</v>
      </c>
      <c r="U13" s="17" t="s">
        <v>45</v>
      </c>
      <c r="V13" s="17" t="s">
        <v>45</v>
      </c>
      <c r="W13" s="17" t="s">
        <v>45</v>
      </c>
      <c r="X13" s="17" t="s">
        <v>45</v>
      </c>
      <c r="Y13" s="17" t="s">
        <v>45</v>
      </c>
      <c r="Z13" s="17" t="s">
        <v>45</v>
      </c>
      <c r="AA13" s="17" t="s">
        <v>45</v>
      </c>
      <c r="AB13" s="17" t="s">
        <v>45</v>
      </c>
      <c r="AC13" s="17" t="s">
        <v>45</v>
      </c>
      <c r="AD13" s="17" t="s">
        <v>45</v>
      </c>
      <c r="AE13" s="17" t="s">
        <v>45</v>
      </c>
      <c r="AF13" s="17" t="s">
        <v>45</v>
      </c>
      <c r="AG13" s="17" t="s">
        <v>45</v>
      </c>
      <c r="AH13" s="17" t="s">
        <v>45</v>
      </c>
      <c r="AI13" s="17" t="s">
        <v>45</v>
      </c>
      <c r="AJ13" s="17" t="s">
        <v>45</v>
      </c>
      <c r="AK13" s="17" t="s">
        <v>45</v>
      </c>
    </row>
    <row r="14" spans="1:37" ht="13" x14ac:dyDescent="0.25">
      <c r="A14" s="6" t="s">
        <v>226</v>
      </c>
      <c r="B14" s="6" t="s">
        <v>47</v>
      </c>
      <c r="C14" s="7">
        <v>47</v>
      </c>
      <c r="D14" s="7">
        <v>53</v>
      </c>
      <c r="E14" s="7">
        <v>59</v>
      </c>
      <c r="F14" s="7">
        <v>65</v>
      </c>
      <c r="G14" s="7">
        <v>81</v>
      </c>
      <c r="H14" s="7">
        <v>72</v>
      </c>
      <c r="I14" s="7">
        <v>73</v>
      </c>
      <c r="J14" s="7">
        <v>82</v>
      </c>
      <c r="K14" s="7">
        <v>73</v>
      </c>
      <c r="L14" s="7">
        <v>85</v>
      </c>
      <c r="M14" s="7">
        <v>87</v>
      </c>
      <c r="N14" s="7">
        <v>81</v>
      </c>
      <c r="O14" s="7">
        <v>70</v>
      </c>
      <c r="P14" s="7">
        <v>95</v>
      </c>
      <c r="Q14" s="7">
        <v>87</v>
      </c>
      <c r="R14" s="8">
        <v>79.100999999999999</v>
      </c>
      <c r="S14" s="7">
        <v>73.22</v>
      </c>
      <c r="T14" s="8">
        <v>75.149000000000001</v>
      </c>
      <c r="U14" s="8">
        <v>85.253</v>
      </c>
      <c r="V14" s="8">
        <v>123.36499999999999</v>
      </c>
      <c r="W14" s="8">
        <v>119.181</v>
      </c>
      <c r="X14" s="7">
        <v>157.56399999999999</v>
      </c>
      <c r="Y14" s="8">
        <v>158.965</v>
      </c>
      <c r="Z14" s="8">
        <v>160.714</v>
      </c>
      <c r="AA14" s="8">
        <v>153.304</v>
      </c>
      <c r="AB14" s="8">
        <v>161.637</v>
      </c>
      <c r="AC14" s="7">
        <v>154.89099999999999</v>
      </c>
      <c r="AD14" s="8">
        <v>140.07599999999999</v>
      </c>
      <c r="AE14" s="8">
        <v>119.48099999999999</v>
      </c>
      <c r="AF14" s="8">
        <v>122.075</v>
      </c>
      <c r="AG14" s="7">
        <v>122.14100000000001</v>
      </c>
      <c r="AH14" s="8">
        <v>121.556</v>
      </c>
      <c r="AI14" s="8">
        <v>140.42699999999999</v>
      </c>
      <c r="AJ14" s="16">
        <v>136.82</v>
      </c>
      <c r="AK14" s="16">
        <v>132.589</v>
      </c>
    </row>
    <row r="15" spans="1:37" ht="13" x14ac:dyDescent="0.25">
      <c r="A15" s="6" t="s">
        <v>226</v>
      </c>
      <c r="B15" s="6" t="s">
        <v>49</v>
      </c>
      <c r="C15" s="10">
        <v>32</v>
      </c>
      <c r="D15" s="10">
        <v>34</v>
      </c>
      <c r="E15" s="10">
        <v>32</v>
      </c>
      <c r="F15" s="10">
        <v>32</v>
      </c>
      <c r="G15" s="10">
        <v>34</v>
      </c>
      <c r="H15" s="10">
        <v>35</v>
      </c>
      <c r="I15" s="10">
        <v>38</v>
      </c>
      <c r="J15" s="10">
        <v>34</v>
      </c>
      <c r="K15" s="10">
        <v>36</v>
      </c>
      <c r="L15" s="10">
        <v>36</v>
      </c>
      <c r="M15" s="10">
        <v>72</v>
      </c>
      <c r="N15" s="10">
        <v>70</v>
      </c>
      <c r="O15" s="10">
        <v>74</v>
      </c>
      <c r="P15" s="10">
        <v>216</v>
      </c>
      <c r="Q15" s="10">
        <v>239.3</v>
      </c>
      <c r="R15" s="9">
        <v>292.41500000000002</v>
      </c>
      <c r="S15" s="9">
        <v>291.298</v>
      </c>
      <c r="T15" s="10">
        <v>385.39</v>
      </c>
      <c r="U15" s="9">
        <v>383.834</v>
      </c>
      <c r="V15" s="9">
        <v>456.65300000000002</v>
      </c>
      <c r="W15" s="9">
        <v>429.50799999999998</v>
      </c>
      <c r="X15" s="9">
        <v>542.88900000000001</v>
      </c>
      <c r="Y15" s="10">
        <v>626.84799999999996</v>
      </c>
      <c r="Z15" s="9">
        <v>592.01599999999996</v>
      </c>
      <c r="AA15" s="9">
        <v>593.37699999999995</v>
      </c>
      <c r="AB15" s="9">
        <v>586.6</v>
      </c>
      <c r="AC15" s="9">
        <v>553.18200000000002</v>
      </c>
      <c r="AD15" s="9">
        <v>576.85500000000002</v>
      </c>
      <c r="AE15" s="9">
        <v>622.93499999999995</v>
      </c>
      <c r="AF15" s="9">
        <v>551.25099999999998</v>
      </c>
      <c r="AG15" s="9">
        <v>520.66499999999996</v>
      </c>
      <c r="AH15" s="9">
        <v>490.03899999999999</v>
      </c>
      <c r="AI15" s="9">
        <v>433.714</v>
      </c>
      <c r="AJ15" s="16">
        <v>448.31099999999998</v>
      </c>
      <c r="AK15" s="16">
        <v>405.44499999999999</v>
      </c>
    </row>
    <row r="16" spans="1:37" ht="13" x14ac:dyDescent="0.25">
      <c r="A16" s="6" t="s">
        <v>226</v>
      </c>
      <c r="B16" s="6" t="s">
        <v>50</v>
      </c>
      <c r="C16" s="7">
        <v>21</v>
      </c>
      <c r="D16" s="7">
        <v>22</v>
      </c>
      <c r="E16" s="7">
        <v>20</v>
      </c>
      <c r="F16" s="7">
        <v>19</v>
      </c>
      <c r="G16" s="7">
        <v>20</v>
      </c>
      <c r="H16" s="7">
        <v>19</v>
      </c>
      <c r="I16" s="7">
        <v>22</v>
      </c>
      <c r="J16" s="7">
        <v>17</v>
      </c>
      <c r="K16" s="7">
        <v>19</v>
      </c>
      <c r="L16" s="7">
        <v>22</v>
      </c>
      <c r="M16" s="7">
        <v>18</v>
      </c>
      <c r="N16" s="7">
        <v>20</v>
      </c>
      <c r="O16" s="7">
        <v>24</v>
      </c>
      <c r="P16" s="7">
        <v>33</v>
      </c>
      <c r="Q16" s="7">
        <v>37</v>
      </c>
      <c r="R16" s="8">
        <v>66.584000000000003</v>
      </c>
      <c r="S16" s="8">
        <v>59.366999999999997</v>
      </c>
      <c r="T16" s="8">
        <v>74.930999999999997</v>
      </c>
      <c r="U16" s="8">
        <v>71.497</v>
      </c>
      <c r="V16" s="8">
        <v>85.801000000000002</v>
      </c>
      <c r="W16" s="8">
        <v>78.019000000000005</v>
      </c>
      <c r="X16" s="8">
        <v>99.268000000000001</v>
      </c>
      <c r="Y16" s="8">
        <v>131.88</v>
      </c>
      <c r="Z16" s="8">
        <v>114.435</v>
      </c>
      <c r="AA16" s="8">
        <v>105.59699999999999</v>
      </c>
      <c r="AB16" s="8">
        <v>71.828000000000003</v>
      </c>
      <c r="AC16" s="8">
        <v>75.614999999999995</v>
      </c>
      <c r="AD16" s="8">
        <v>85.159000000000006</v>
      </c>
      <c r="AE16" s="8">
        <v>66.147999999999996</v>
      </c>
      <c r="AF16" s="8">
        <v>61.228000000000002</v>
      </c>
      <c r="AG16" s="8">
        <v>71.010000000000005</v>
      </c>
      <c r="AH16" s="8">
        <v>75.984999999999999</v>
      </c>
      <c r="AI16" s="7">
        <v>59.850999999999999</v>
      </c>
      <c r="AJ16" s="16">
        <v>65.248000000000005</v>
      </c>
      <c r="AK16" s="16">
        <v>64.456000000000003</v>
      </c>
    </row>
    <row r="17" spans="1:37" ht="13" x14ac:dyDescent="0.25">
      <c r="A17" s="6" t="s">
        <v>226</v>
      </c>
      <c r="B17" s="6" t="s">
        <v>51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-1</v>
      </c>
      <c r="U17" s="10">
        <v>0</v>
      </c>
      <c r="V17" s="10">
        <v>-1</v>
      </c>
      <c r="W17" s="10">
        <v>1</v>
      </c>
      <c r="X17" s="10">
        <v>0</v>
      </c>
      <c r="Y17" s="10">
        <v>0</v>
      </c>
      <c r="Z17" s="10">
        <v>0</v>
      </c>
      <c r="AA17" s="10">
        <v>-2</v>
      </c>
      <c r="AB17" s="10">
        <v>-2</v>
      </c>
      <c r="AC17" s="10">
        <v>-1</v>
      </c>
      <c r="AD17" s="9">
        <v>0.63800000000000001</v>
      </c>
      <c r="AE17" s="9">
        <v>-0.28799999999999998</v>
      </c>
      <c r="AF17" s="9">
        <v>-2.7240000000000002</v>
      </c>
      <c r="AG17" s="9">
        <v>-2.903</v>
      </c>
      <c r="AH17" s="9">
        <v>3.6560000000000001</v>
      </c>
      <c r="AI17" s="10">
        <v>-1.95</v>
      </c>
      <c r="AJ17" s="16">
        <v>1.8640000000000001</v>
      </c>
      <c r="AK17" s="16">
        <v>0.152</v>
      </c>
    </row>
    <row r="18" spans="1:37" ht="13" x14ac:dyDescent="0.25">
      <c r="A18" s="6" t="s">
        <v>226</v>
      </c>
      <c r="B18" s="6" t="s">
        <v>53</v>
      </c>
      <c r="C18" s="7">
        <v>58</v>
      </c>
      <c r="D18" s="7">
        <v>65</v>
      </c>
      <c r="E18" s="7">
        <v>71</v>
      </c>
      <c r="F18" s="7">
        <v>78</v>
      </c>
      <c r="G18" s="7">
        <v>95</v>
      </c>
      <c r="H18" s="7">
        <v>88</v>
      </c>
      <c r="I18" s="7">
        <v>89</v>
      </c>
      <c r="J18" s="7">
        <v>99</v>
      </c>
      <c r="K18" s="7">
        <v>90</v>
      </c>
      <c r="L18" s="7">
        <v>99</v>
      </c>
      <c r="M18" s="7">
        <v>141</v>
      </c>
      <c r="N18" s="7">
        <v>131</v>
      </c>
      <c r="O18" s="7">
        <v>120</v>
      </c>
      <c r="P18" s="7">
        <v>278</v>
      </c>
      <c r="Q18" s="7">
        <v>289.3</v>
      </c>
      <c r="R18" s="8">
        <v>304.93200000000002</v>
      </c>
      <c r="S18" s="8">
        <v>305.15100000000001</v>
      </c>
      <c r="T18" s="8">
        <v>384.608</v>
      </c>
      <c r="U18" s="7">
        <v>397.59</v>
      </c>
      <c r="V18" s="8">
        <v>493.21699999999998</v>
      </c>
      <c r="W18" s="7">
        <v>471.67</v>
      </c>
      <c r="X18" s="8">
        <v>601.18499999999995</v>
      </c>
      <c r="Y18" s="7">
        <v>653.93299999999999</v>
      </c>
      <c r="Z18" s="8">
        <v>638.29499999999996</v>
      </c>
      <c r="AA18" s="8">
        <v>639.08399999999995</v>
      </c>
      <c r="AB18" s="8">
        <v>674.40899999999999</v>
      </c>
      <c r="AC18" s="8">
        <v>631.45799999999997</v>
      </c>
      <c r="AD18" s="8">
        <v>632.41</v>
      </c>
      <c r="AE18" s="8">
        <v>675.98</v>
      </c>
      <c r="AF18" s="8">
        <v>609.37400000000002</v>
      </c>
      <c r="AG18" s="8">
        <v>568.89300000000003</v>
      </c>
      <c r="AH18" s="8">
        <v>539.26599999999996</v>
      </c>
      <c r="AI18" s="8">
        <v>512.34</v>
      </c>
      <c r="AJ18" s="16">
        <v>521.74699999999996</v>
      </c>
      <c r="AK18" s="16">
        <v>473.73</v>
      </c>
    </row>
    <row r="19" spans="1:37" ht="13" x14ac:dyDescent="0.25">
      <c r="A19" s="6" t="s">
        <v>185</v>
      </c>
      <c r="B19" s="6" t="s">
        <v>47</v>
      </c>
      <c r="C19" s="10">
        <v>0</v>
      </c>
      <c r="D19" s="10">
        <v>0</v>
      </c>
      <c r="E19" s="10">
        <v>3.5</v>
      </c>
      <c r="F19" s="10">
        <v>28.3</v>
      </c>
      <c r="G19" s="10">
        <v>38.5</v>
      </c>
      <c r="H19" s="10">
        <v>38</v>
      </c>
      <c r="I19" s="10">
        <v>60.3</v>
      </c>
      <c r="J19" s="10">
        <v>83.4</v>
      </c>
      <c r="K19" s="10">
        <v>97.9</v>
      </c>
      <c r="L19" s="10">
        <v>90.9</v>
      </c>
      <c r="M19" s="10">
        <v>92.5</v>
      </c>
      <c r="N19" s="9">
        <v>109.548</v>
      </c>
      <c r="O19" s="10">
        <v>248.75</v>
      </c>
      <c r="P19" s="9">
        <v>373.68400000000003</v>
      </c>
      <c r="Q19" s="9">
        <v>415.512</v>
      </c>
      <c r="R19" s="9">
        <v>586.27700000000004</v>
      </c>
      <c r="S19" s="10">
        <v>975.92</v>
      </c>
      <c r="T19" s="9">
        <v>1336.5039999999999</v>
      </c>
      <c r="U19" s="9">
        <v>1993.133</v>
      </c>
      <c r="V19" s="9">
        <v>2368.0619999999999</v>
      </c>
      <c r="W19" s="9">
        <v>2659.5929999999998</v>
      </c>
      <c r="X19" s="9">
        <v>2810.3530000000001</v>
      </c>
      <c r="Y19" s="9">
        <v>3246.0639999999999</v>
      </c>
      <c r="Z19" s="9">
        <v>3722.3389999999999</v>
      </c>
      <c r="AA19" s="9">
        <v>3381.8960000000002</v>
      </c>
      <c r="AB19" s="9">
        <v>3530.1840000000002</v>
      </c>
      <c r="AC19" s="9">
        <v>3443.056</v>
      </c>
      <c r="AD19" s="9">
        <v>3467.5160000000001</v>
      </c>
      <c r="AE19" s="9">
        <v>3624.9969999999998</v>
      </c>
      <c r="AF19" s="9">
        <v>3639.4740000000002</v>
      </c>
      <c r="AG19" s="9">
        <v>3512.2049999999999</v>
      </c>
      <c r="AH19" s="9">
        <v>3694.7640000000001</v>
      </c>
      <c r="AI19" s="9">
        <v>3786.73</v>
      </c>
      <c r="AJ19" s="16">
        <v>3798.0770000000002</v>
      </c>
      <c r="AK19" s="16">
        <v>4203.3450000000003</v>
      </c>
    </row>
    <row r="20" spans="1:37" ht="13" x14ac:dyDescent="0.25">
      <c r="A20" s="6" t="s">
        <v>185</v>
      </c>
      <c r="B20" s="6" t="s">
        <v>49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8">
        <v>1.143</v>
      </c>
      <c r="P20" s="8">
        <v>6.2549999999999999</v>
      </c>
      <c r="Q20" s="8">
        <v>71.751999999999995</v>
      </c>
      <c r="R20" s="8">
        <v>351.09300000000002</v>
      </c>
      <c r="S20" s="8">
        <v>386.87400000000002</v>
      </c>
      <c r="T20" s="8">
        <v>617.37800000000004</v>
      </c>
      <c r="U20" s="7">
        <v>1158.17</v>
      </c>
      <c r="V20" s="8">
        <v>1520.0450000000001</v>
      </c>
      <c r="W20" s="8">
        <v>1805.894</v>
      </c>
      <c r="X20" s="8">
        <v>1961.9860000000001</v>
      </c>
      <c r="Y20" s="7">
        <v>1775.6</v>
      </c>
      <c r="Z20" s="8">
        <v>1371.278</v>
      </c>
      <c r="AA20" s="8">
        <v>1504.9559999999999</v>
      </c>
      <c r="AB20" s="8">
        <v>1708.0730000000001</v>
      </c>
      <c r="AC20" s="8">
        <v>1653.0319999999999</v>
      </c>
      <c r="AD20" s="8">
        <v>1793.384</v>
      </c>
      <c r="AE20" s="8">
        <v>2029.1469999999999</v>
      </c>
      <c r="AF20" s="8">
        <v>2384.1419999999998</v>
      </c>
      <c r="AG20" s="8">
        <v>2529.3330000000001</v>
      </c>
      <c r="AH20" s="7">
        <v>2722.1309999999999</v>
      </c>
      <c r="AI20" s="8">
        <v>3223.692</v>
      </c>
      <c r="AJ20" s="16">
        <v>3138.71</v>
      </c>
      <c r="AK20" s="16">
        <v>3367.9789999999998</v>
      </c>
    </row>
    <row r="21" spans="1:37" ht="13" x14ac:dyDescent="0.25">
      <c r="A21" s="6" t="s">
        <v>185</v>
      </c>
      <c r="B21" s="6" t="s">
        <v>50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9">
        <v>11.394</v>
      </c>
      <c r="R21" s="9">
        <v>76.025999999999996</v>
      </c>
      <c r="S21" s="9">
        <v>53.749000000000002</v>
      </c>
      <c r="T21" s="9">
        <v>246.05500000000001</v>
      </c>
      <c r="U21" s="9">
        <v>486.44200000000001</v>
      </c>
      <c r="V21" s="9">
        <v>697.58199999999999</v>
      </c>
      <c r="W21" s="9">
        <v>747.803</v>
      </c>
      <c r="X21" s="9">
        <v>983.26900000000001</v>
      </c>
      <c r="Y21" s="9">
        <v>1215.634</v>
      </c>
      <c r="Z21" s="9">
        <v>1474.826</v>
      </c>
      <c r="AA21" s="10">
        <v>1371.83</v>
      </c>
      <c r="AB21" s="9">
        <v>1582.077</v>
      </c>
      <c r="AC21" s="9">
        <v>1444.7270000000001</v>
      </c>
      <c r="AD21" s="9">
        <v>1422.5709999999999</v>
      </c>
      <c r="AE21" s="9">
        <v>1531.8040000000001</v>
      </c>
      <c r="AF21" s="10">
        <v>1634.5619999999999</v>
      </c>
      <c r="AG21" s="9">
        <v>1562.838</v>
      </c>
      <c r="AH21" s="9">
        <v>1555.973</v>
      </c>
      <c r="AI21" s="9">
        <v>1632.366</v>
      </c>
      <c r="AJ21" s="16">
        <v>1431.3889999999999</v>
      </c>
      <c r="AK21" s="16">
        <v>1611.58</v>
      </c>
    </row>
    <row r="22" spans="1:37" ht="13" x14ac:dyDescent="0.25">
      <c r="A22" s="6" t="s">
        <v>185</v>
      </c>
      <c r="B22" s="6" t="s">
        <v>51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8">
        <v>-0.85899999999999999</v>
      </c>
      <c r="R22" s="8">
        <v>12.2</v>
      </c>
      <c r="S22" s="8">
        <v>-0.114</v>
      </c>
      <c r="T22" s="8">
        <v>-19.731000000000002</v>
      </c>
      <c r="U22" s="8">
        <v>-4.3579999999999997</v>
      </c>
      <c r="V22" s="8">
        <v>16.809000000000001</v>
      </c>
      <c r="W22" s="7">
        <v>-14.64</v>
      </c>
      <c r="X22" s="8">
        <v>-21.905000000000001</v>
      </c>
      <c r="Y22" s="8">
        <v>24.846</v>
      </c>
      <c r="Z22" s="8">
        <v>-35.280999999999999</v>
      </c>
      <c r="AA22" s="8">
        <v>39.436</v>
      </c>
      <c r="AB22" s="7">
        <v>58.43</v>
      </c>
      <c r="AC22" s="7">
        <v>-7.77</v>
      </c>
      <c r="AD22" s="8">
        <v>5.2830000000000004</v>
      </c>
      <c r="AE22" s="8">
        <v>5.3840000000000003</v>
      </c>
      <c r="AF22" s="8">
        <v>-21.931000000000001</v>
      </c>
      <c r="AG22" s="8">
        <v>-112.72499999999999</v>
      </c>
      <c r="AH22" s="8">
        <v>-15.275</v>
      </c>
      <c r="AI22" s="8">
        <v>-49.417999999999999</v>
      </c>
      <c r="AJ22" s="16">
        <v>10.121</v>
      </c>
      <c r="AK22" s="16">
        <v>16.745000000000001</v>
      </c>
    </row>
    <row r="23" spans="1:37" ht="13" x14ac:dyDescent="0.25">
      <c r="A23" s="6" t="s">
        <v>185</v>
      </c>
      <c r="B23" s="6" t="s">
        <v>53</v>
      </c>
      <c r="C23" s="10">
        <v>0</v>
      </c>
      <c r="D23" s="10">
        <v>0</v>
      </c>
      <c r="E23" s="10">
        <v>3.5</v>
      </c>
      <c r="F23" s="10">
        <v>28.3</v>
      </c>
      <c r="G23" s="10">
        <v>38.5</v>
      </c>
      <c r="H23" s="10">
        <v>38</v>
      </c>
      <c r="I23" s="10">
        <v>60.3</v>
      </c>
      <c r="J23" s="10">
        <v>83.4</v>
      </c>
      <c r="K23" s="10">
        <v>97.9</v>
      </c>
      <c r="L23" s="10">
        <v>90.9</v>
      </c>
      <c r="M23" s="10">
        <v>92.5</v>
      </c>
      <c r="N23" s="9">
        <v>109.548</v>
      </c>
      <c r="O23" s="9">
        <v>249.893</v>
      </c>
      <c r="P23" s="9">
        <v>379.93900000000002</v>
      </c>
      <c r="Q23" s="9">
        <v>475.01100000000002</v>
      </c>
      <c r="R23" s="9">
        <v>873.54399999999998</v>
      </c>
      <c r="S23" s="9">
        <v>1308.931</v>
      </c>
      <c r="T23" s="9">
        <v>1688.096</v>
      </c>
      <c r="U23" s="9">
        <v>2660.5030000000002</v>
      </c>
      <c r="V23" s="9">
        <v>3207.3339999999998</v>
      </c>
      <c r="W23" s="9">
        <v>3703.0439999999999</v>
      </c>
      <c r="X23" s="9">
        <v>3767.165</v>
      </c>
      <c r="Y23" s="9">
        <v>3830.8760000000002</v>
      </c>
      <c r="Z23" s="10">
        <v>3583.51</v>
      </c>
      <c r="AA23" s="9">
        <v>3554.4580000000001</v>
      </c>
      <c r="AB23" s="9">
        <v>3714.61</v>
      </c>
      <c r="AC23" s="9">
        <v>3643.5909999999999</v>
      </c>
      <c r="AD23" s="9">
        <v>3843.6120000000001</v>
      </c>
      <c r="AE23" s="9">
        <v>4127.7240000000002</v>
      </c>
      <c r="AF23" s="9">
        <v>4367.1229999999996</v>
      </c>
      <c r="AG23" s="9">
        <v>4365.9750000000004</v>
      </c>
      <c r="AH23" s="9">
        <v>4845.6469999999999</v>
      </c>
      <c r="AI23" s="9">
        <v>5328.6379999999999</v>
      </c>
      <c r="AJ23" s="16">
        <v>5515.5190000000002</v>
      </c>
      <c r="AK23" s="16">
        <v>5976.4889999999996</v>
      </c>
    </row>
    <row r="24" spans="1:37" ht="13" x14ac:dyDescent="0.25">
      <c r="A24" s="6" t="s">
        <v>186</v>
      </c>
      <c r="B24" s="6" t="s">
        <v>47</v>
      </c>
      <c r="C24" s="8">
        <v>7.1529999999999996</v>
      </c>
      <c r="D24" s="8">
        <v>7.9470000000000001</v>
      </c>
      <c r="E24" s="8">
        <v>17.905999999999999</v>
      </c>
      <c r="F24" s="8">
        <v>28.393999999999998</v>
      </c>
      <c r="G24" s="8">
        <v>108.158</v>
      </c>
      <c r="H24" s="8">
        <v>213.02099999999999</v>
      </c>
      <c r="I24" s="8">
        <v>304.83600000000001</v>
      </c>
      <c r="J24" s="7">
        <v>383.88</v>
      </c>
      <c r="K24" s="8">
        <v>352.178</v>
      </c>
      <c r="L24" s="8">
        <v>418.78500000000003</v>
      </c>
      <c r="M24" s="8">
        <v>636.74699999999996</v>
      </c>
      <c r="N24" s="8">
        <v>783.82799999999997</v>
      </c>
      <c r="O24" s="8">
        <v>1035.0160000000001</v>
      </c>
      <c r="P24" s="8">
        <v>1290.5350000000001</v>
      </c>
      <c r="Q24" s="8">
        <v>1934.7829999999999</v>
      </c>
      <c r="R24" s="8">
        <v>2751.9740000000002</v>
      </c>
      <c r="S24" s="8">
        <v>3712.9009999999998</v>
      </c>
      <c r="T24" s="8">
        <v>5204.7060000000001</v>
      </c>
      <c r="U24" s="8">
        <v>6716.7139999999999</v>
      </c>
      <c r="V24" s="8">
        <v>8418.2209999999995</v>
      </c>
      <c r="W24" s="8">
        <v>9623.7189999999991</v>
      </c>
      <c r="X24" s="8">
        <v>9143.9439999999995</v>
      </c>
      <c r="Y24" s="8">
        <v>9663.7720000000008</v>
      </c>
      <c r="Z24" s="8">
        <v>10425.713</v>
      </c>
      <c r="AA24" s="7">
        <v>12272.562</v>
      </c>
      <c r="AB24" s="8">
        <v>11932.053</v>
      </c>
      <c r="AC24" s="8">
        <v>11494.328</v>
      </c>
      <c r="AD24" s="8">
        <v>12735.504000000001</v>
      </c>
      <c r="AE24" s="8">
        <v>13391.620999999999</v>
      </c>
      <c r="AF24" s="8">
        <v>14371.248</v>
      </c>
      <c r="AG24" s="8">
        <v>13758.396000000001</v>
      </c>
      <c r="AH24" s="7">
        <v>14111.791999999999</v>
      </c>
      <c r="AI24" s="8">
        <v>13550.898999999999</v>
      </c>
      <c r="AJ24" s="16">
        <v>13822.498</v>
      </c>
      <c r="AK24" s="16">
        <v>13581.241</v>
      </c>
    </row>
    <row r="25" spans="1:37" ht="13" x14ac:dyDescent="0.25">
      <c r="A25" s="6" t="s">
        <v>186</v>
      </c>
      <c r="B25" s="6" t="s">
        <v>49</v>
      </c>
      <c r="C25" s="10">
        <v>0</v>
      </c>
      <c r="D25" s="10">
        <v>0</v>
      </c>
      <c r="E25" s="10">
        <v>0</v>
      </c>
      <c r="F25" s="10">
        <v>0</v>
      </c>
      <c r="G25" s="10">
        <v>1.6</v>
      </c>
      <c r="H25" s="10">
        <v>8.4</v>
      </c>
      <c r="I25" s="10">
        <v>8.6999999999999993</v>
      </c>
      <c r="J25" s="10">
        <v>11.4</v>
      </c>
      <c r="K25" s="9">
        <v>31.414999999999999</v>
      </c>
      <c r="L25" s="9">
        <v>26.129000000000001</v>
      </c>
      <c r="M25" s="9">
        <v>11.593999999999999</v>
      </c>
      <c r="N25" s="9">
        <v>37.779000000000003</v>
      </c>
      <c r="O25" s="10">
        <v>40.04</v>
      </c>
      <c r="P25" s="10">
        <v>188.06</v>
      </c>
      <c r="Q25" s="10">
        <v>109.12</v>
      </c>
      <c r="R25" s="10">
        <v>514.30999999999995</v>
      </c>
      <c r="S25" s="9">
        <v>1319.8889999999999</v>
      </c>
      <c r="T25" s="9">
        <v>2003.8710000000001</v>
      </c>
      <c r="U25" s="9">
        <v>2752.6370000000002</v>
      </c>
      <c r="V25" s="9">
        <v>2504.3829999999998</v>
      </c>
      <c r="W25" s="9">
        <v>3691.5149999999999</v>
      </c>
      <c r="X25" s="9">
        <v>5107.9979999999996</v>
      </c>
      <c r="Y25" s="9">
        <v>5727.1869999999999</v>
      </c>
      <c r="Z25" s="9">
        <v>4613.5730000000003</v>
      </c>
      <c r="AA25" s="9">
        <v>5463.1</v>
      </c>
      <c r="AB25" s="9">
        <v>4985.0600000000004</v>
      </c>
      <c r="AC25" s="9">
        <v>5906.6369999999997</v>
      </c>
      <c r="AD25" s="9">
        <v>6642.4139999999998</v>
      </c>
      <c r="AE25" s="9">
        <v>8536.8150000000005</v>
      </c>
      <c r="AF25" s="9">
        <v>8495.7950000000001</v>
      </c>
      <c r="AG25" s="9">
        <v>9327.3420000000006</v>
      </c>
      <c r="AH25" s="9">
        <v>10019.574000000001</v>
      </c>
      <c r="AI25" s="10">
        <v>10273.576999999999</v>
      </c>
      <c r="AJ25" s="16">
        <v>9982.6759999999995</v>
      </c>
      <c r="AK25" s="16">
        <v>8191.4470000000001</v>
      </c>
    </row>
    <row r="26" spans="1:37" ht="13" x14ac:dyDescent="0.25">
      <c r="A26" s="6" t="s">
        <v>186</v>
      </c>
      <c r="B26" s="6" t="s">
        <v>50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2.4</v>
      </c>
      <c r="I26" s="7">
        <v>3.2</v>
      </c>
      <c r="J26" s="7">
        <v>1.5</v>
      </c>
      <c r="K26" s="7">
        <v>0.08</v>
      </c>
      <c r="L26" s="7">
        <v>0.03</v>
      </c>
      <c r="M26" s="8">
        <v>7.1999999999999995E-2</v>
      </c>
      <c r="N26" s="7">
        <v>49.4</v>
      </c>
      <c r="O26" s="8">
        <v>89.302999999999997</v>
      </c>
      <c r="P26" s="7">
        <v>153.96</v>
      </c>
      <c r="Q26" s="8">
        <v>233.69800000000001</v>
      </c>
      <c r="R26" s="8">
        <v>428.88200000000001</v>
      </c>
      <c r="S26" s="8">
        <v>727.47900000000004</v>
      </c>
      <c r="T26" s="8">
        <v>838.64800000000002</v>
      </c>
      <c r="U26" s="8">
        <v>1174.8240000000001</v>
      </c>
      <c r="V26" s="8">
        <v>1253.0730000000001</v>
      </c>
      <c r="W26" s="8">
        <v>2571.1770000000001</v>
      </c>
      <c r="X26" s="8">
        <v>2882.9169999999999</v>
      </c>
      <c r="Y26" s="8">
        <v>2958.6210000000001</v>
      </c>
      <c r="Z26" s="8">
        <v>4020.384</v>
      </c>
      <c r="AA26" s="8">
        <v>5775.335</v>
      </c>
      <c r="AB26" s="8">
        <v>5153.8760000000002</v>
      </c>
      <c r="AC26" s="7">
        <v>5913.29</v>
      </c>
      <c r="AD26" s="8">
        <v>6684.2460000000001</v>
      </c>
      <c r="AE26" s="8">
        <v>7703.3149999999996</v>
      </c>
      <c r="AF26" s="8">
        <v>8020.8890000000001</v>
      </c>
      <c r="AG26" s="8">
        <v>8157.4629999999997</v>
      </c>
      <c r="AH26" s="8">
        <v>8868.4860000000008</v>
      </c>
      <c r="AI26" s="8">
        <v>8160.46</v>
      </c>
      <c r="AJ26" s="16">
        <v>8397.2870000000003</v>
      </c>
      <c r="AK26" s="16">
        <v>7564.652</v>
      </c>
    </row>
    <row r="27" spans="1:37" ht="13" x14ac:dyDescent="0.25">
      <c r="A27" s="6" t="s">
        <v>186</v>
      </c>
      <c r="B27" s="6" t="s">
        <v>51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-3</v>
      </c>
      <c r="O27" s="10">
        <v>0</v>
      </c>
      <c r="P27" s="10">
        <v>0</v>
      </c>
      <c r="Q27" s="9">
        <v>-1.248</v>
      </c>
      <c r="R27" s="9">
        <v>-0.55100000000000005</v>
      </c>
      <c r="S27" s="9">
        <v>2.2389999999999999</v>
      </c>
      <c r="T27" s="9">
        <v>-53.046999999999997</v>
      </c>
      <c r="U27" s="9">
        <v>-91.912000000000006</v>
      </c>
      <c r="V27" s="9">
        <v>26.146000000000001</v>
      </c>
      <c r="W27" s="9">
        <v>-6.2409999999999997</v>
      </c>
      <c r="X27" s="9">
        <v>-109.952</v>
      </c>
      <c r="Y27" s="9">
        <v>65.757999999999996</v>
      </c>
      <c r="Z27" s="9">
        <v>-62.570999999999998</v>
      </c>
      <c r="AA27" s="9">
        <v>-12.582000000000001</v>
      </c>
      <c r="AB27" s="10">
        <v>136.965</v>
      </c>
      <c r="AC27" s="9">
        <v>119.072</v>
      </c>
      <c r="AD27" s="9">
        <v>257.40899999999999</v>
      </c>
      <c r="AE27" s="9">
        <v>307.07400000000001</v>
      </c>
      <c r="AF27" s="9">
        <v>-74.768000000000001</v>
      </c>
      <c r="AG27" s="9">
        <v>172.547</v>
      </c>
      <c r="AH27" s="9">
        <v>470.13900000000001</v>
      </c>
      <c r="AI27" s="9">
        <v>82.828999999999994</v>
      </c>
      <c r="AJ27" s="16">
        <v>428.02800000000002</v>
      </c>
      <c r="AK27" s="16">
        <v>372.10199999999998</v>
      </c>
    </row>
    <row r="28" spans="1:37" ht="13" x14ac:dyDescent="0.25">
      <c r="A28" s="6" t="s">
        <v>186</v>
      </c>
      <c r="B28" s="6" t="s">
        <v>53</v>
      </c>
      <c r="C28" s="8">
        <v>7.1529999999999996</v>
      </c>
      <c r="D28" s="8">
        <v>7.9470000000000001</v>
      </c>
      <c r="E28" s="8">
        <v>17.905999999999999</v>
      </c>
      <c r="F28" s="8">
        <v>28.393999999999998</v>
      </c>
      <c r="G28" s="8">
        <v>109.758</v>
      </c>
      <c r="H28" s="8">
        <v>219.02099999999999</v>
      </c>
      <c r="I28" s="8">
        <v>310.33600000000001</v>
      </c>
      <c r="J28" s="7">
        <v>393.78</v>
      </c>
      <c r="K28" s="8">
        <v>383.51299999999998</v>
      </c>
      <c r="L28" s="8">
        <v>444.88400000000001</v>
      </c>
      <c r="M28" s="8">
        <v>648.26900000000001</v>
      </c>
      <c r="N28" s="8">
        <v>769.20699999999999</v>
      </c>
      <c r="O28" s="8">
        <v>985.75300000000004</v>
      </c>
      <c r="P28" s="8">
        <v>1324.635</v>
      </c>
      <c r="Q28" s="8">
        <v>1808.9570000000001</v>
      </c>
      <c r="R28" s="8">
        <v>2836.8510000000001</v>
      </c>
      <c r="S28" s="7">
        <v>4307.55</v>
      </c>
      <c r="T28" s="8">
        <v>6316.8819999999996</v>
      </c>
      <c r="U28" s="8">
        <v>8202.6149999999998</v>
      </c>
      <c r="V28" s="8">
        <v>9695.6769999999997</v>
      </c>
      <c r="W28" s="8">
        <v>10737.816000000001</v>
      </c>
      <c r="X28" s="8">
        <v>11259.073</v>
      </c>
      <c r="Y28" s="8">
        <v>12498.096</v>
      </c>
      <c r="Z28" s="8">
        <v>10956.331</v>
      </c>
      <c r="AA28" s="8">
        <v>11947.745000000001</v>
      </c>
      <c r="AB28" s="7">
        <v>11900.201999999999</v>
      </c>
      <c r="AC28" s="8">
        <v>11606.746999999999</v>
      </c>
      <c r="AD28" s="7">
        <v>12951.081</v>
      </c>
      <c r="AE28" s="8">
        <v>14532.195</v>
      </c>
      <c r="AF28" s="7">
        <v>14771.386</v>
      </c>
      <c r="AG28" s="8">
        <v>15100.822</v>
      </c>
      <c r="AH28" s="8">
        <v>15733.019</v>
      </c>
      <c r="AI28" s="8">
        <v>15746.844999999999</v>
      </c>
      <c r="AJ28" s="16">
        <v>15835.915000000001</v>
      </c>
      <c r="AK28" s="16">
        <v>14580.138000000001</v>
      </c>
    </row>
    <row r="29" spans="1:37" ht="13" x14ac:dyDescent="0.25">
      <c r="A29" s="6" t="s">
        <v>227</v>
      </c>
      <c r="B29" s="6" t="s">
        <v>47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1</v>
      </c>
      <c r="Y29" s="10">
        <v>0</v>
      </c>
      <c r="Z29" s="10">
        <v>0</v>
      </c>
      <c r="AA29" s="10">
        <v>0</v>
      </c>
      <c r="AB29" s="10">
        <v>1</v>
      </c>
      <c r="AC29" s="10">
        <v>0</v>
      </c>
      <c r="AD29" s="10">
        <v>0</v>
      </c>
      <c r="AE29" s="10">
        <v>7</v>
      </c>
      <c r="AF29" s="10">
        <v>24</v>
      </c>
      <c r="AG29" s="10">
        <v>44</v>
      </c>
      <c r="AH29" s="10">
        <v>89</v>
      </c>
      <c r="AI29" s="9">
        <v>164.91200000000001</v>
      </c>
      <c r="AJ29" s="16">
        <v>222.15299999999999</v>
      </c>
      <c r="AK29" s="16">
        <v>146.07499999999999</v>
      </c>
    </row>
    <row r="30" spans="1:37" ht="13" x14ac:dyDescent="0.25">
      <c r="A30" s="6" t="s">
        <v>227</v>
      </c>
      <c r="B30" s="6" t="s">
        <v>49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0.156</v>
      </c>
      <c r="AI30" s="8">
        <v>28.93</v>
      </c>
      <c r="AJ30" s="16">
        <v>46.619</v>
      </c>
      <c r="AK30" s="16">
        <v>64.808000000000007</v>
      </c>
    </row>
    <row r="31" spans="1:37" ht="13" x14ac:dyDescent="0.25">
      <c r="A31" s="6" t="s">
        <v>227</v>
      </c>
      <c r="B31" s="6" t="s">
        <v>50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1</v>
      </c>
      <c r="Y31" s="10">
        <v>0</v>
      </c>
      <c r="Z31" s="10">
        <v>0</v>
      </c>
      <c r="AA31" s="10">
        <v>0</v>
      </c>
      <c r="AB31" s="10">
        <v>1</v>
      </c>
      <c r="AC31" s="10">
        <v>0</v>
      </c>
      <c r="AD31" s="10">
        <v>0</v>
      </c>
      <c r="AE31" s="10">
        <v>7</v>
      </c>
      <c r="AF31" s="10">
        <v>24</v>
      </c>
      <c r="AG31" s="10">
        <v>44</v>
      </c>
      <c r="AH31" s="10">
        <v>89</v>
      </c>
      <c r="AI31" s="10">
        <v>161</v>
      </c>
      <c r="AJ31" s="16">
        <v>208</v>
      </c>
      <c r="AK31" s="16">
        <v>131</v>
      </c>
    </row>
    <row r="32" spans="1:37" ht="13" x14ac:dyDescent="0.25">
      <c r="A32" s="6" t="s">
        <v>227</v>
      </c>
      <c r="B32" s="6" t="s">
        <v>51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8">
        <v>-8.7999999999999995E-2</v>
      </c>
      <c r="AJ32" s="16">
        <v>-6.9809999999999999</v>
      </c>
      <c r="AK32" s="16">
        <v>-2</v>
      </c>
    </row>
    <row r="33" spans="1:37" ht="13" x14ac:dyDescent="0.25">
      <c r="A33" s="6" t="s">
        <v>227</v>
      </c>
      <c r="B33" s="6" t="s">
        <v>53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0.156</v>
      </c>
      <c r="AI33" s="9">
        <v>32.753999999999998</v>
      </c>
      <c r="AJ33" s="16">
        <v>53.790999999999997</v>
      </c>
      <c r="AK33" s="16">
        <v>77.882999999999996</v>
      </c>
    </row>
    <row r="34" spans="1:37" ht="13" x14ac:dyDescent="0.25">
      <c r="A34" s="6" t="s">
        <v>187</v>
      </c>
      <c r="B34" s="6" t="s">
        <v>47</v>
      </c>
      <c r="C34" s="7">
        <v>0</v>
      </c>
      <c r="D34" s="7">
        <v>0</v>
      </c>
      <c r="E34" s="7">
        <v>2</v>
      </c>
      <c r="F34" s="7">
        <v>5</v>
      </c>
      <c r="G34" s="8">
        <v>17.597000000000001</v>
      </c>
      <c r="H34" s="8">
        <v>11.744999999999999</v>
      </c>
      <c r="I34" s="8">
        <v>6.6239999999999997</v>
      </c>
      <c r="J34" s="7">
        <v>10.37</v>
      </c>
      <c r="K34" s="8">
        <v>11.366</v>
      </c>
      <c r="L34" s="7">
        <v>14.73</v>
      </c>
      <c r="M34" s="8">
        <v>17.315000000000001</v>
      </c>
      <c r="N34" s="8">
        <v>29.481000000000002</v>
      </c>
      <c r="O34" s="7">
        <v>33.64</v>
      </c>
      <c r="P34" s="8">
        <v>99.597999999999999</v>
      </c>
      <c r="Q34" s="8">
        <v>140.53800000000001</v>
      </c>
      <c r="R34" s="8">
        <v>468.63400000000001</v>
      </c>
      <c r="S34" s="8">
        <v>1263.451</v>
      </c>
      <c r="T34" s="8">
        <v>1411.5409999999999</v>
      </c>
      <c r="U34" s="8">
        <v>1098.4939999999999</v>
      </c>
      <c r="V34" s="8">
        <v>1120.7239999999999</v>
      </c>
      <c r="W34" s="8">
        <v>944.79200000000003</v>
      </c>
      <c r="X34" s="8">
        <v>403.78500000000003</v>
      </c>
      <c r="Y34" s="7">
        <v>405.35</v>
      </c>
      <c r="Z34" s="8">
        <v>397.27300000000002</v>
      </c>
      <c r="AA34" s="8">
        <v>351.06099999999998</v>
      </c>
      <c r="AB34" s="7">
        <v>391.22</v>
      </c>
      <c r="AC34" s="8">
        <v>518.05700000000002</v>
      </c>
      <c r="AD34" s="8">
        <v>540.98599999999999</v>
      </c>
      <c r="AE34" s="8">
        <v>624.59699999999998</v>
      </c>
      <c r="AF34" s="8">
        <v>630.30100000000004</v>
      </c>
      <c r="AG34" s="8">
        <v>717.95399999999995</v>
      </c>
      <c r="AH34" s="8">
        <v>676.94799999999998</v>
      </c>
      <c r="AI34" s="8">
        <v>500.72899999999998</v>
      </c>
      <c r="AJ34" s="16">
        <v>527.81399999999996</v>
      </c>
      <c r="AK34" s="16">
        <v>575.22400000000005</v>
      </c>
    </row>
    <row r="35" spans="1:37" ht="13" x14ac:dyDescent="0.25">
      <c r="A35" s="6" t="s">
        <v>187</v>
      </c>
      <c r="B35" s="6" t="s">
        <v>49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20.170000000000002</v>
      </c>
      <c r="P35" s="9">
        <v>0.98399999999999999</v>
      </c>
      <c r="Q35" s="9">
        <v>95.549000000000007</v>
      </c>
      <c r="R35" s="9">
        <v>310.23399999999998</v>
      </c>
      <c r="S35" s="9">
        <v>361.613</v>
      </c>
      <c r="T35" s="9">
        <v>43.692999999999998</v>
      </c>
      <c r="U35" s="9">
        <v>120.67100000000001</v>
      </c>
      <c r="V35" s="9">
        <v>281.423</v>
      </c>
      <c r="W35" s="10">
        <v>621.35</v>
      </c>
      <c r="X35" s="9">
        <v>577.21699999999998</v>
      </c>
      <c r="Y35" s="9">
        <v>630.01499999999999</v>
      </c>
      <c r="Z35" s="9">
        <v>823.279</v>
      </c>
      <c r="AA35" s="9">
        <v>956.52599999999995</v>
      </c>
      <c r="AB35" s="9">
        <v>1026.877</v>
      </c>
      <c r="AC35" s="9">
        <v>920.495</v>
      </c>
      <c r="AD35" s="10">
        <v>802.68</v>
      </c>
      <c r="AE35" s="9">
        <v>758.04600000000005</v>
      </c>
      <c r="AF35" s="9">
        <v>869.83699999999999</v>
      </c>
      <c r="AG35" s="10">
        <v>767.93</v>
      </c>
      <c r="AH35" s="9">
        <v>688.10299999999995</v>
      </c>
      <c r="AI35" s="9">
        <v>563.67899999999997</v>
      </c>
      <c r="AJ35" s="16">
        <v>452.06799999999998</v>
      </c>
      <c r="AK35" s="16">
        <v>547.48500000000001</v>
      </c>
    </row>
    <row r="36" spans="1:37" ht="13" x14ac:dyDescent="0.25">
      <c r="A36" s="6" t="s">
        <v>187</v>
      </c>
      <c r="B36" s="6" t="s">
        <v>50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8">
        <v>9.9000000000000005E-2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16">
        <v>0</v>
      </c>
      <c r="AK36" s="16">
        <v>0</v>
      </c>
    </row>
    <row r="37" spans="1:37" ht="13" x14ac:dyDescent="0.25">
      <c r="A37" s="6" t="s">
        <v>187</v>
      </c>
      <c r="B37" s="6" t="s">
        <v>51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9">
        <v>-1E-3</v>
      </c>
      <c r="V37" s="10">
        <v>0</v>
      </c>
      <c r="W37" s="10">
        <v>0</v>
      </c>
      <c r="X37" s="10">
        <v>0</v>
      </c>
      <c r="Y37" s="10">
        <v>0</v>
      </c>
      <c r="Z37" s="9">
        <v>-0.35299999999999998</v>
      </c>
      <c r="AA37" s="9">
        <v>-8.6999999999999994E-2</v>
      </c>
      <c r="AB37" s="9">
        <v>0.189</v>
      </c>
      <c r="AC37" s="10">
        <v>0.1</v>
      </c>
      <c r="AD37" s="10">
        <v>0</v>
      </c>
      <c r="AE37" s="9">
        <v>-3.9E-2</v>
      </c>
      <c r="AF37" s="9">
        <v>1.4999999999999999E-2</v>
      </c>
      <c r="AG37" s="9">
        <v>1E-3</v>
      </c>
      <c r="AH37" s="9">
        <v>1.4E-2</v>
      </c>
      <c r="AI37" s="9">
        <v>-3.0000000000000001E-3</v>
      </c>
      <c r="AJ37" s="16">
        <v>0</v>
      </c>
      <c r="AK37" s="16">
        <v>0</v>
      </c>
    </row>
    <row r="38" spans="1:37" ht="13" x14ac:dyDescent="0.25">
      <c r="A38" s="6" t="s">
        <v>187</v>
      </c>
      <c r="B38" s="6" t="s">
        <v>53</v>
      </c>
      <c r="C38" s="7">
        <v>0</v>
      </c>
      <c r="D38" s="7">
        <v>0</v>
      </c>
      <c r="E38" s="7">
        <v>2</v>
      </c>
      <c r="F38" s="7">
        <v>5</v>
      </c>
      <c r="G38" s="8">
        <v>17.597000000000001</v>
      </c>
      <c r="H38" s="8">
        <v>11.744999999999999</v>
      </c>
      <c r="I38" s="8">
        <v>6.6239999999999997</v>
      </c>
      <c r="J38" s="7">
        <v>10.37</v>
      </c>
      <c r="K38" s="8">
        <v>11.366</v>
      </c>
      <c r="L38" s="7">
        <v>14.73</v>
      </c>
      <c r="M38" s="8">
        <v>17.315000000000001</v>
      </c>
      <c r="N38" s="8">
        <v>29.481000000000002</v>
      </c>
      <c r="O38" s="7">
        <v>53.81</v>
      </c>
      <c r="P38" s="8">
        <v>100.58199999999999</v>
      </c>
      <c r="Q38" s="8">
        <v>236.08699999999999</v>
      </c>
      <c r="R38" s="8">
        <v>778.86800000000005</v>
      </c>
      <c r="S38" s="8">
        <v>1625.0640000000001</v>
      </c>
      <c r="T38" s="8">
        <v>1455.2339999999999</v>
      </c>
      <c r="U38" s="8">
        <v>1219.164</v>
      </c>
      <c r="V38" s="8">
        <v>1402.1469999999999</v>
      </c>
      <c r="W38" s="8">
        <v>1566.1420000000001</v>
      </c>
      <c r="X38" s="8">
        <v>981.00199999999995</v>
      </c>
      <c r="Y38" s="8">
        <v>1035.365</v>
      </c>
      <c r="Z38" s="8">
        <v>1220.1990000000001</v>
      </c>
      <c r="AA38" s="7">
        <v>1307.5</v>
      </c>
      <c r="AB38" s="8">
        <v>1418.2860000000001</v>
      </c>
      <c r="AC38" s="8">
        <v>1438.5530000000001</v>
      </c>
      <c r="AD38" s="8">
        <v>1343.6659999999999</v>
      </c>
      <c r="AE38" s="8">
        <v>1382.604</v>
      </c>
      <c r="AF38" s="8">
        <v>1500.153</v>
      </c>
      <c r="AG38" s="8">
        <v>1485.885</v>
      </c>
      <c r="AH38" s="8">
        <v>1365.0650000000001</v>
      </c>
      <c r="AI38" s="8">
        <v>1064.405</v>
      </c>
      <c r="AJ38" s="16">
        <v>979.88199999999995</v>
      </c>
      <c r="AK38" s="16">
        <v>1122.7090000000001</v>
      </c>
    </row>
    <row r="41" spans="1:37" x14ac:dyDescent="0.25">
      <c r="A41" s="2" t="s">
        <v>308</v>
      </c>
    </row>
    <row r="42" spans="1:37" ht="13" x14ac:dyDescent="0.25">
      <c r="A42" s="2" t="s">
        <v>1</v>
      </c>
      <c r="B42" s="3" t="s">
        <v>224</v>
      </c>
    </row>
    <row r="43" spans="1:37" x14ac:dyDescent="0.25">
      <c r="A43" s="2" t="s">
        <v>2</v>
      </c>
      <c r="B43" s="112">
        <v>45832.958333333336</v>
      </c>
    </row>
    <row r="45" spans="1:37" ht="13" x14ac:dyDescent="0.25">
      <c r="A45" s="3" t="s">
        <v>3</v>
      </c>
      <c r="C45" s="2" t="s">
        <v>4</v>
      </c>
    </row>
    <row r="46" spans="1:37" s="19" customFormat="1" ht="13" x14ac:dyDescent="0.3">
      <c r="A46" s="18" t="s">
        <v>5</v>
      </c>
      <c r="C46" s="18" t="s">
        <v>180</v>
      </c>
    </row>
    <row r="47" spans="1:37" ht="13" x14ac:dyDescent="0.25">
      <c r="A47" s="3" t="s">
        <v>7</v>
      </c>
      <c r="C47" s="2" t="s">
        <v>8</v>
      </c>
    </row>
    <row r="49" spans="1:37" ht="13" x14ac:dyDescent="0.25">
      <c r="A49" s="117" t="s">
        <v>9</v>
      </c>
      <c r="B49" s="117" t="s">
        <v>9</v>
      </c>
      <c r="C49" s="4" t="s">
        <v>10</v>
      </c>
      <c r="D49" s="4" t="s">
        <v>11</v>
      </c>
      <c r="E49" s="4" t="s">
        <v>12</v>
      </c>
      <c r="F49" s="4" t="s">
        <v>13</v>
      </c>
      <c r="G49" s="4" t="s">
        <v>14</v>
      </c>
      <c r="H49" s="4" t="s">
        <v>15</v>
      </c>
      <c r="I49" s="4" t="s">
        <v>16</v>
      </c>
      <c r="J49" s="4" t="s">
        <v>17</v>
      </c>
      <c r="K49" s="4" t="s">
        <v>18</v>
      </c>
      <c r="L49" s="4" t="s">
        <v>19</v>
      </c>
      <c r="M49" s="4" t="s">
        <v>20</v>
      </c>
      <c r="N49" s="4" t="s">
        <v>21</v>
      </c>
      <c r="O49" s="4" t="s">
        <v>22</v>
      </c>
      <c r="P49" s="4" t="s">
        <v>23</v>
      </c>
      <c r="Q49" s="4" t="s">
        <v>24</v>
      </c>
      <c r="R49" s="4" t="s">
        <v>25</v>
      </c>
      <c r="S49" s="4" t="s">
        <v>26</v>
      </c>
      <c r="T49" s="4" t="s">
        <v>27</v>
      </c>
      <c r="U49" s="4" t="s">
        <v>28</v>
      </c>
      <c r="V49" s="4" t="s">
        <v>29</v>
      </c>
      <c r="W49" s="4" t="s">
        <v>30</v>
      </c>
      <c r="X49" s="4" t="s">
        <v>31</v>
      </c>
      <c r="Y49" s="4" t="s">
        <v>32</v>
      </c>
      <c r="Z49" s="4" t="s">
        <v>33</v>
      </c>
      <c r="AA49" s="4" t="s">
        <v>34</v>
      </c>
      <c r="AB49" s="4" t="s">
        <v>35</v>
      </c>
      <c r="AC49" s="4" t="s">
        <v>36</v>
      </c>
      <c r="AD49" s="4" t="s">
        <v>37</v>
      </c>
      <c r="AE49" s="4" t="s">
        <v>38</v>
      </c>
      <c r="AF49" s="4" t="s">
        <v>39</v>
      </c>
      <c r="AG49" s="4" t="s">
        <v>40</v>
      </c>
      <c r="AH49" s="4" t="s">
        <v>41</v>
      </c>
      <c r="AI49" s="4" t="s">
        <v>42</v>
      </c>
      <c r="AJ49" s="4" t="s">
        <v>254</v>
      </c>
      <c r="AK49" s="4" t="s">
        <v>285</v>
      </c>
    </row>
    <row r="50" spans="1:37" ht="13" x14ac:dyDescent="0.25">
      <c r="A50" s="5" t="s">
        <v>43</v>
      </c>
      <c r="B50" s="5" t="s">
        <v>44</v>
      </c>
      <c r="C50" s="17" t="s">
        <v>45</v>
      </c>
      <c r="D50" s="17" t="s">
        <v>45</v>
      </c>
      <c r="E50" s="17" t="s">
        <v>45</v>
      </c>
      <c r="F50" s="17" t="s">
        <v>45</v>
      </c>
      <c r="G50" s="17" t="s">
        <v>45</v>
      </c>
      <c r="H50" s="17" t="s">
        <v>45</v>
      </c>
      <c r="I50" s="17" t="s">
        <v>45</v>
      </c>
      <c r="J50" s="17" t="s">
        <v>45</v>
      </c>
      <c r="K50" s="17" t="s">
        <v>45</v>
      </c>
      <c r="L50" s="17" t="s">
        <v>45</v>
      </c>
      <c r="M50" s="17" t="s">
        <v>45</v>
      </c>
      <c r="N50" s="17" t="s">
        <v>45</v>
      </c>
      <c r="O50" s="17" t="s">
        <v>45</v>
      </c>
      <c r="P50" s="17" t="s">
        <v>45</v>
      </c>
      <c r="Q50" s="17" t="s">
        <v>45</v>
      </c>
      <c r="R50" s="17" t="s">
        <v>45</v>
      </c>
      <c r="S50" s="17" t="s">
        <v>45</v>
      </c>
      <c r="T50" s="17" t="s">
        <v>45</v>
      </c>
      <c r="U50" s="17" t="s">
        <v>45</v>
      </c>
      <c r="V50" s="17" t="s">
        <v>45</v>
      </c>
      <c r="W50" s="17" t="s">
        <v>45</v>
      </c>
      <c r="X50" s="17" t="s">
        <v>45</v>
      </c>
      <c r="Y50" s="17" t="s">
        <v>45</v>
      </c>
      <c r="Z50" s="17" t="s">
        <v>45</v>
      </c>
      <c r="AA50" s="17" t="s">
        <v>45</v>
      </c>
      <c r="AB50" s="17" t="s">
        <v>45</v>
      </c>
      <c r="AC50" s="17" t="s">
        <v>45</v>
      </c>
      <c r="AD50" s="17" t="s">
        <v>45</v>
      </c>
      <c r="AE50" s="17" t="s">
        <v>45</v>
      </c>
      <c r="AF50" s="17" t="s">
        <v>45</v>
      </c>
      <c r="AG50" s="17" t="s">
        <v>45</v>
      </c>
      <c r="AH50" s="17" t="s">
        <v>45</v>
      </c>
      <c r="AI50" s="17" t="s">
        <v>45</v>
      </c>
      <c r="AJ50" s="17" t="s">
        <v>45</v>
      </c>
      <c r="AK50" s="17" t="s">
        <v>45</v>
      </c>
    </row>
    <row r="51" spans="1:37" ht="13" x14ac:dyDescent="0.25">
      <c r="A51" s="6" t="s">
        <v>164</v>
      </c>
      <c r="B51" s="6" t="s">
        <v>47</v>
      </c>
      <c r="C51" s="8">
        <v>133276.26800000001</v>
      </c>
      <c r="D51" s="8">
        <v>131920.26800000001</v>
      </c>
      <c r="E51" s="8">
        <v>143148.655</v>
      </c>
      <c r="F51" s="8">
        <v>150360.655</v>
      </c>
      <c r="G51" s="8">
        <v>142663.655</v>
      </c>
      <c r="H51" s="8">
        <v>143925.655</v>
      </c>
      <c r="I51" s="8">
        <v>155823.655</v>
      </c>
      <c r="J51" s="8">
        <v>160960.655</v>
      </c>
      <c r="K51" s="8">
        <v>172364.655</v>
      </c>
      <c r="L51" s="8">
        <v>181012.734</v>
      </c>
      <c r="M51" s="7">
        <v>191962.48</v>
      </c>
      <c r="N51" s="7">
        <v>186513.48</v>
      </c>
      <c r="O51" s="8">
        <v>192757.06599999999</v>
      </c>
      <c r="P51" s="8">
        <v>218308.76500000001</v>
      </c>
      <c r="Q51" s="8">
        <v>221916.83499999999</v>
      </c>
      <c r="R51" s="7">
        <v>222082.09</v>
      </c>
      <c r="S51" s="8">
        <v>229376.318</v>
      </c>
      <c r="T51" s="8">
        <v>234949.86900000001</v>
      </c>
      <c r="U51" s="8">
        <v>234847.93400000001</v>
      </c>
      <c r="V51" s="8">
        <v>228367.19500000001</v>
      </c>
      <c r="W51" s="8">
        <v>229985.519</v>
      </c>
      <c r="X51" s="8">
        <v>242380.20499999999</v>
      </c>
      <c r="Y51" s="8">
        <v>239058.128</v>
      </c>
      <c r="Z51" s="8">
        <v>249108.91800000001</v>
      </c>
      <c r="AA51" s="8">
        <v>259147.147</v>
      </c>
      <c r="AB51" s="8">
        <v>272238.84299999999</v>
      </c>
      <c r="AC51" s="8">
        <v>280383.14600000001</v>
      </c>
      <c r="AD51" s="14">
        <v>283520.745</v>
      </c>
      <c r="AE51" s="14">
        <v>284081.69099999999</v>
      </c>
      <c r="AF51" s="14">
        <v>288813.37599999999</v>
      </c>
      <c r="AG51" s="14">
        <v>288822.10700000002</v>
      </c>
      <c r="AH51" s="14">
        <v>284300.739</v>
      </c>
      <c r="AI51" s="14">
        <v>282806.09499999997</v>
      </c>
      <c r="AJ51" s="16">
        <v>277189.12300000002</v>
      </c>
      <c r="AK51" s="16">
        <v>276548.337</v>
      </c>
    </row>
    <row r="52" spans="1:37" ht="13" x14ac:dyDescent="0.25">
      <c r="A52" s="6" t="s">
        <v>164</v>
      </c>
      <c r="B52" s="6" t="s">
        <v>49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6">
        <v>0</v>
      </c>
      <c r="AK52" s="16">
        <v>0</v>
      </c>
    </row>
    <row r="53" spans="1:37" ht="13" x14ac:dyDescent="0.25">
      <c r="A53" s="6" t="s">
        <v>164</v>
      </c>
      <c r="B53" s="6" t="s">
        <v>50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6">
        <v>0</v>
      </c>
      <c r="AK53" s="16">
        <v>0</v>
      </c>
    </row>
    <row r="54" spans="1:37" ht="13" x14ac:dyDescent="0.25">
      <c r="A54" s="6" t="s">
        <v>164</v>
      </c>
      <c r="B54" s="6" t="s">
        <v>51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6">
        <v>0</v>
      </c>
      <c r="AK54" s="16" t="s">
        <v>255</v>
      </c>
    </row>
    <row r="55" spans="1:37" ht="13" x14ac:dyDescent="0.25">
      <c r="A55" s="6" t="s">
        <v>164</v>
      </c>
      <c r="B55" s="6" t="s">
        <v>53</v>
      </c>
      <c r="C55" s="8">
        <v>133276.26800000001</v>
      </c>
      <c r="D55" s="8">
        <v>131920.26800000001</v>
      </c>
      <c r="E55" s="8">
        <v>143148.655</v>
      </c>
      <c r="F55" s="8">
        <v>150360.655</v>
      </c>
      <c r="G55" s="8">
        <v>142663.655</v>
      </c>
      <c r="H55" s="8">
        <v>143925.655</v>
      </c>
      <c r="I55" s="8">
        <v>155823.655</v>
      </c>
      <c r="J55" s="8">
        <v>160960.655</v>
      </c>
      <c r="K55" s="8">
        <v>172364.655</v>
      </c>
      <c r="L55" s="8">
        <v>181012.734</v>
      </c>
      <c r="M55" s="7">
        <v>191962.48</v>
      </c>
      <c r="N55" s="7">
        <v>186513.48</v>
      </c>
      <c r="O55" s="8">
        <v>192757.06599999999</v>
      </c>
      <c r="P55" s="8">
        <v>218308.76500000001</v>
      </c>
      <c r="Q55" s="8">
        <v>221916.83499999999</v>
      </c>
      <c r="R55" s="7">
        <v>222082.09</v>
      </c>
      <c r="S55" s="8">
        <v>229376.318</v>
      </c>
      <c r="T55" s="8">
        <v>234949.86900000001</v>
      </c>
      <c r="U55" s="8">
        <v>234847.93400000001</v>
      </c>
      <c r="V55" s="8">
        <v>228367.19500000001</v>
      </c>
      <c r="W55" s="8">
        <v>229985.519</v>
      </c>
      <c r="X55" s="8">
        <v>242380.20499999999</v>
      </c>
      <c r="Y55" s="8">
        <v>239058.128</v>
      </c>
      <c r="Z55" s="8">
        <v>249108.91800000001</v>
      </c>
      <c r="AA55" s="8">
        <v>259147.147</v>
      </c>
      <c r="AB55" s="8">
        <v>272238.84299999999</v>
      </c>
      <c r="AC55" s="8">
        <v>280383.14600000001</v>
      </c>
      <c r="AD55" s="14">
        <v>283520.745</v>
      </c>
      <c r="AE55" s="14">
        <v>284081.69099999999</v>
      </c>
      <c r="AF55" s="14">
        <v>288813.37599999999</v>
      </c>
      <c r="AG55" s="14">
        <v>288822.10700000002</v>
      </c>
      <c r="AH55" s="14">
        <v>284300.739</v>
      </c>
      <c r="AI55" s="14">
        <v>282806.09499999997</v>
      </c>
      <c r="AJ55" s="16">
        <v>277189.12300000002</v>
      </c>
      <c r="AK55" s="16">
        <v>276548.337</v>
      </c>
    </row>
    <row r="56" spans="1:37" ht="13" x14ac:dyDescent="0.25">
      <c r="A56" s="6" t="s">
        <v>168</v>
      </c>
      <c r="B56" s="6" t="s">
        <v>47</v>
      </c>
      <c r="C56" s="9">
        <v>6360.5050000000001</v>
      </c>
      <c r="D56" s="10">
        <v>7135.42</v>
      </c>
      <c r="E56" s="9">
        <v>7911.5370000000003</v>
      </c>
      <c r="F56" s="9">
        <v>8549.6919999999991</v>
      </c>
      <c r="G56" s="9">
        <v>9311.1270000000004</v>
      </c>
      <c r="H56" s="9">
        <v>11413.996999999999</v>
      </c>
      <c r="I56" s="9">
        <v>12362.746999999999</v>
      </c>
      <c r="J56" s="9">
        <v>14664.636</v>
      </c>
      <c r="K56" s="9">
        <v>16082.656999999999</v>
      </c>
      <c r="L56" s="9">
        <v>17510.173999999999</v>
      </c>
      <c r="M56" s="9">
        <v>20007.214</v>
      </c>
      <c r="N56" s="9">
        <v>21754.174999999999</v>
      </c>
      <c r="O56" s="9">
        <v>23508.217000000001</v>
      </c>
      <c r="P56" s="9">
        <v>27001.992999999999</v>
      </c>
      <c r="Q56" s="9">
        <v>28303.516</v>
      </c>
      <c r="R56" s="9">
        <v>30793.871999999999</v>
      </c>
      <c r="S56" s="9">
        <v>34981.644999999997</v>
      </c>
      <c r="T56" s="9">
        <v>40044.427000000003</v>
      </c>
      <c r="U56" s="9">
        <v>46844.091</v>
      </c>
      <c r="V56" s="9">
        <v>56123.896000000001</v>
      </c>
      <c r="W56" s="9">
        <v>75256.173999999999</v>
      </c>
      <c r="X56" s="9">
        <v>91150.451000000001</v>
      </c>
      <c r="Y56" s="9">
        <v>136270.821</v>
      </c>
      <c r="Z56" s="9">
        <v>156213.103</v>
      </c>
      <c r="AA56" s="9">
        <v>172679.103</v>
      </c>
      <c r="AB56" s="9">
        <v>179866.851</v>
      </c>
      <c r="AC56" s="9">
        <v>182416.91800000001</v>
      </c>
      <c r="AD56" s="13">
        <v>190457.18700000001</v>
      </c>
      <c r="AE56" s="13">
        <v>180503.41200000001</v>
      </c>
      <c r="AF56" s="13">
        <v>195450.242</v>
      </c>
      <c r="AG56" s="13">
        <v>188429.31</v>
      </c>
      <c r="AH56" s="13">
        <v>163153.995</v>
      </c>
      <c r="AI56" s="13">
        <v>163717.552</v>
      </c>
      <c r="AJ56" s="16">
        <v>169733.45499999999</v>
      </c>
      <c r="AK56" s="16">
        <v>162773.47</v>
      </c>
    </row>
    <row r="57" spans="1:37" ht="13" x14ac:dyDescent="0.25">
      <c r="A57" s="6" t="s">
        <v>168</v>
      </c>
      <c r="B57" s="6" t="s">
        <v>49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6">
        <v>0</v>
      </c>
      <c r="AK57" s="16">
        <v>0</v>
      </c>
    </row>
    <row r="58" spans="1:37" ht="13" x14ac:dyDescent="0.25">
      <c r="A58" s="6" t="s">
        <v>168</v>
      </c>
      <c r="B58" s="6" t="s">
        <v>50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6">
        <v>0</v>
      </c>
      <c r="AK58" s="16">
        <v>0</v>
      </c>
    </row>
    <row r="59" spans="1:37" ht="13" x14ac:dyDescent="0.25">
      <c r="A59" s="6" t="s">
        <v>168</v>
      </c>
      <c r="B59" s="6" t="s">
        <v>51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6">
        <v>0</v>
      </c>
      <c r="AK59" s="16" t="s">
        <v>255</v>
      </c>
    </row>
    <row r="60" spans="1:37" ht="13" x14ac:dyDescent="0.25">
      <c r="A60" s="6" t="s">
        <v>168</v>
      </c>
      <c r="B60" s="6" t="s">
        <v>53</v>
      </c>
      <c r="C60" s="9">
        <v>6360.5050000000001</v>
      </c>
      <c r="D60" s="10">
        <v>7135.42</v>
      </c>
      <c r="E60" s="9">
        <v>7911.5370000000003</v>
      </c>
      <c r="F60" s="9">
        <v>8549.6919999999991</v>
      </c>
      <c r="G60" s="9">
        <v>9311.1270000000004</v>
      </c>
      <c r="H60" s="9">
        <v>11413.996999999999</v>
      </c>
      <c r="I60" s="9">
        <v>12362.746999999999</v>
      </c>
      <c r="J60" s="9">
        <v>14664.636</v>
      </c>
      <c r="K60" s="9">
        <v>16082.656999999999</v>
      </c>
      <c r="L60" s="9">
        <v>17510.173999999999</v>
      </c>
      <c r="M60" s="9">
        <v>20007.214</v>
      </c>
      <c r="N60" s="9">
        <v>21754.174999999999</v>
      </c>
      <c r="O60" s="9">
        <v>23508.217000000001</v>
      </c>
      <c r="P60" s="9">
        <v>27001.992999999999</v>
      </c>
      <c r="Q60" s="9">
        <v>28303.516</v>
      </c>
      <c r="R60" s="9">
        <v>30793.871999999999</v>
      </c>
      <c r="S60" s="9">
        <v>34981.644999999997</v>
      </c>
      <c r="T60" s="9">
        <v>40044.427000000003</v>
      </c>
      <c r="U60" s="9">
        <v>46844.091</v>
      </c>
      <c r="V60" s="9">
        <v>56123.896000000001</v>
      </c>
      <c r="W60" s="9">
        <v>75256.173999999999</v>
      </c>
      <c r="X60" s="9">
        <v>91150.451000000001</v>
      </c>
      <c r="Y60" s="9">
        <v>136270.821</v>
      </c>
      <c r="Z60" s="9">
        <v>156213.103</v>
      </c>
      <c r="AA60" s="9">
        <v>172679.103</v>
      </c>
      <c r="AB60" s="9">
        <v>179866.851</v>
      </c>
      <c r="AC60" s="9">
        <v>182416.91800000001</v>
      </c>
      <c r="AD60" s="13">
        <v>190457.18700000001</v>
      </c>
      <c r="AE60" s="13">
        <v>180503.41200000001</v>
      </c>
      <c r="AF60" s="13">
        <v>195450.242</v>
      </c>
      <c r="AG60" s="13">
        <v>188429.31</v>
      </c>
      <c r="AH60" s="13">
        <v>163153.995</v>
      </c>
      <c r="AI60" s="13">
        <v>163717.552</v>
      </c>
      <c r="AJ60" s="16">
        <v>169733.45499999999</v>
      </c>
      <c r="AK60" s="16">
        <v>162773.47</v>
      </c>
    </row>
    <row r="61" spans="1:37" ht="13" x14ac:dyDescent="0.25">
      <c r="A61" s="6" t="s">
        <v>174</v>
      </c>
      <c r="B61" s="6" t="s">
        <v>47</v>
      </c>
      <c r="C61" s="7">
        <v>2267</v>
      </c>
      <c r="D61" s="8">
        <v>2220.3609999999999</v>
      </c>
      <c r="E61" s="8">
        <v>2341.9029999999998</v>
      </c>
      <c r="F61" s="8">
        <v>2533.723</v>
      </c>
      <c r="G61" s="8">
        <v>2635.893</v>
      </c>
      <c r="H61" s="8">
        <v>2779.7489999999998</v>
      </c>
      <c r="I61" s="8">
        <v>2895.4250000000002</v>
      </c>
      <c r="J61" s="8">
        <v>3080.3969999999999</v>
      </c>
      <c r="K61" s="8">
        <v>3284.1190000000001</v>
      </c>
      <c r="L61" s="8">
        <v>3429.5030000000002</v>
      </c>
      <c r="M61" s="8">
        <v>3594.8519999999999</v>
      </c>
      <c r="N61" s="8">
        <v>3773.2840000000001</v>
      </c>
      <c r="O61" s="8">
        <v>4009.0390000000002</v>
      </c>
      <c r="P61" s="8">
        <v>11717.888999999999</v>
      </c>
      <c r="Q61" s="7">
        <v>17592.669999999998</v>
      </c>
      <c r="R61" s="8">
        <v>26426.292000000001</v>
      </c>
      <c r="S61" s="8">
        <v>35979.945</v>
      </c>
      <c r="T61" s="8">
        <v>47548.22</v>
      </c>
      <c r="U61" s="8">
        <v>63563.313000000002</v>
      </c>
      <c r="V61" s="8">
        <v>79890.895999999993</v>
      </c>
      <c r="W61" s="8">
        <v>99539.876000000004</v>
      </c>
      <c r="X61" s="7">
        <v>160769.89199999999</v>
      </c>
      <c r="Y61" s="7">
        <v>184221.76500000001</v>
      </c>
      <c r="Z61" s="8">
        <v>201753.897</v>
      </c>
      <c r="AA61" s="8">
        <v>238301.65299999999</v>
      </c>
      <c r="AB61" s="7">
        <v>263249.81900000002</v>
      </c>
      <c r="AC61" s="8">
        <v>297284.16800000001</v>
      </c>
      <c r="AD61" s="14">
        <v>462543.12800000003</v>
      </c>
      <c r="AE61" s="14">
        <v>492535.87699999998</v>
      </c>
      <c r="AF61" s="14">
        <v>527160.81400000001</v>
      </c>
      <c r="AG61" s="14">
        <v>558870.13600000006</v>
      </c>
      <c r="AH61" s="14">
        <v>639473.10199999996</v>
      </c>
      <c r="AI61" s="14">
        <v>696277.15099999995</v>
      </c>
      <c r="AJ61" s="16">
        <v>776628.58200000005</v>
      </c>
      <c r="AK61" s="16">
        <v>816075.72499999998</v>
      </c>
    </row>
    <row r="62" spans="1:37" ht="13" x14ac:dyDescent="0.25">
      <c r="A62" s="6" t="s">
        <v>174</v>
      </c>
      <c r="B62" s="6" t="s">
        <v>49</v>
      </c>
      <c r="C62" s="11" t="s">
        <v>255</v>
      </c>
      <c r="D62" s="11" t="s">
        <v>255</v>
      </c>
      <c r="E62" s="11" t="s">
        <v>255</v>
      </c>
      <c r="F62" s="11" t="s">
        <v>255</v>
      </c>
      <c r="G62" s="11" t="s">
        <v>255</v>
      </c>
      <c r="H62" s="11" t="s">
        <v>255</v>
      </c>
      <c r="I62" s="11" t="s">
        <v>255</v>
      </c>
      <c r="J62" s="11" t="s">
        <v>255</v>
      </c>
      <c r="K62" s="11" t="s">
        <v>255</v>
      </c>
      <c r="L62" s="11" t="s">
        <v>255</v>
      </c>
      <c r="M62" s="11" t="s">
        <v>255</v>
      </c>
      <c r="N62" s="11" t="s">
        <v>255</v>
      </c>
      <c r="O62" s="11" t="s">
        <v>255</v>
      </c>
      <c r="P62" s="11" t="s">
        <v>255</v>
      </c>
      <c r="Q62" s="11" t="s">
        <v>255</v>
      </c>
      <c r="R62" s="11" t="s">
        <v>255</v>
      </c>
      <c r="S62" s="11" t="s">
        <v>255</v>
      </c>
      <c r="T62" s="11" t="s">
        <v>255</v>
      </c>
      <c r="U62" s="11" t="s">
        <v>255</v>
      </c>
      <c r="V62" s="11" t="s">
        <v>255</v>
      </c>
      <c r="W62" s="11" t="s">
        <v>255</v>
      </c>
      <c r="X62" s="11" t="s">
        <v>255</v>
      </c>
      <c r="Y62" s="11" t="s">
        <v>255</v>
      </c>
      <c r="Z62" s="11" t="s">
        <v>255</v>
      </c>
      <c r="AA62" s="11" t="s">
        <v>255</v>
      </c>
      <c r="AB62" s="11" t="s">
        <v>255</v>
      </c>
      <c r="AC62" s="11" t="s">
        <v>255</v>
      </c>
      <c r="AD62" s="13" t="s">
        <v>255</v>
      </c>
      <c r="AE62" s="13" t="s">
        <v>255</v>
      </c>
      <c r="AF62" s="13" t="s">
        <v>255</v>
      </c>
      <c r="AG62" s="13" t="s">
        <v>255</v>
      </c>
      <c r="AH62" s="13" t="s">
        <v>255</v>
      </c>
      <c r="AI62" s="13" t="s">
        <v>255</v>
      </c>
      <c r="AJ62" s="16" t="s">
        <v>255</v>
      </c>
      <c r="AK62" s="16" t="s">
        <v>255</v>
      </c>
    </row>
    <row r="63" spans="1:37" ht="13" x14ac:dyDescent="0.25">
      <c r="A63" s="6" t="s">
        <v>174</v>
      </c>
      <c r="B63" s="6" t="s">
        <v>50</v>
      </c>
      <c r="C63" s="12" t="s">
        <v>255</v>
      </c>
      <c r="D63" s="12" t="s">
        <v>255</v>
      </c>
      <c r="E63" s="12" t="s">
        <v>255</v>
      </c>
      <c r="F63" s="12" t="s">
        <v>255</v>
      </c>
      <c r="G63" s="12" t="s">
        <v>255</v>
      </c>
      <c r="H63" s="12" t="s">
        <v>255</v>
      </c>
      <c r="I63" s="12" t="s">
        <v>255</v>
      </c>
      <c r="J63" s="12" t="s">
        <v>255</v>
      </c>
      <c r="K63" s="12" t="s">
        <v>255</v>
      </c>
      <c r="L63" s="12" t="s">
        <v>255</v>
      </c>
      <c r="M63" s="12" t="s">
        <v>255</v>
      </c>
      <c r="N63" s="12" t="s">
        <v>255</v>
      </c>
      <c r="O63" s="12" t="s">
        <v>255</v>
      </c>
      <c r="P63" s="12" t="s">
        <v>255</v>
      </c>
      <c r="Q63" s="12" t="s">
        <v>255</v>
      </c>
      <c r="R63" s="12" t="s">
        <v>255</v>
      </c>
      <c r="S63" s="12" t="s">
        <v>255</v>
      </c>
      <c r="T63" s="12" t="s">
        <v>255</v>
      </c>
      <c r="U63" s="12" t="s">
        <v>255</v>
      </c>
      <c r="V63" s="12" t="s">
        <v>255</v>
      </c>
      <c r="W63" s="12" t="s">
        <v>255</v>
      </c>
      <c r="X63" s="12" t="s">
        <v>255</v>
      </c>
      <c r="Y63" s="12" t="s">
        <v>255</v>
      </c>
      <c r="Z63" s="12" t="s">
        <v>255</v>
      </c>
      <c r="AA63" s="12" t="s">
        <v>255</v>
      </c>
      <c r="AB63" s="12" t="s">
        <v>255</v>
      </c>
      <c r="AC63" s="12" t="s">
        <v>255</v>
      </c>
      <c r="AD63" s="14" t="s">
        <v>255</v>
      </c>
      <c r="AE63" s="14" t="s">
        <v>255</v>
      </c>
      <c r="AF63" s="14" t="s">
        <v>255</v>
      </c>
      <c r="AG63" s="14" t="s">
        <v>255</v>
      </c>
      <c r="AH63" s="14" t="s">
        <v>255</v>
      </c>
      <c r="AI63" s="14" t="s">
        <v>255</v>
      </c>
      <c r="AJ63" s="16" t="s">
        <v>255</v>
      </c>
      <c r="AK63" s="16" t="s">
        <v>255</v>
      </c>
    </row>
    <row r="64" spans="1:37" ht="13" x14ac:dyDescent="0.25">
      <c r="A64" s="6" t="s">
        <v>174</v>
      </c>
      <c r="B64" s="6" t="s">
        <v>51</v>
      </c>
      <c r="C64" s="11" t="s">
        <v>255</v>
      </c>
      <c r="D64" s="11" t="s">
        <v>255</v>
      </c>
      <c r="E64" s="11" t="s">
        <v>255</v>
      </c>
      <c r="F64" s="11" t="s">
        <v>255</v>
      </c>
      <c r="G64" s="11" t="s">
        <v>255</v>
      </c>
      <c r="H64" s="11" t="s">
        <v>255</v>
      </c>
      <c r="I64" s="11" t="s">
        <v>255</v>
      </c>
      <c r="J64" s="11" t="s">
        <v>255</v>
      </c>
      <c r="K64" s="11" t="s">
        <v>255</v>
      </c>
      <c r="L64" s="11" t="s">
        <v>255</v>
      </c>
      <c r="M64" s="11" t="s">
        <v>255</v>
      </c>
      <c r="N64" s="11" t="s">
        <v>255</v>
      </c>
      <c r="O64" s="11" t="s">
        <v>255</v>
      </c>
      <c r="P64" s="11" t="s">
        <v>255</v>
      </c>
      <c r="Q64" s="11" t="s">
        <v>255</v>
      </c>
      <c r="R64" s="11" t="s">
        <v>255</v>
      </c>
      <c r="S64" s="11" t="s">
        <v>255</v>
      </c>
      <c r="T64" s="11" t="s">
        <v>255</v>
      </c>
      <c r="U64" s="11" t="s">
        <v>255</v>
      </c>
      <c r="V64" s="11" t="s">
        <v>255</v>
      </c>
      <c r="W64" s="11" t="s">
        <v>255</v>
      </c>
      <c r="X64" s="11" t="s">
        <v>255</v>
      </c>
      <c r="Y64" s="11" t="s">
        <v>255</v>
      </c>
      <c r="Z64" s="11" t="s">
        <v>255</v>
      </c>
      <c r="AA64" s="11" t="s">
        <v>255</v>
      </c>
      <c r="AB64" s="11" t="s">
        <v>255</v>
      </c>
      <c r="AC64" s="11" t="s">
        <v>255</v>
      </c>
      <c r="AD64" s="13" t="s">
        <v>255</v>
      </c>
      <c r="AE64" s="13" t="s">
        <v>255</v>
      </c>
      <c r="AF64" s="13" t="s">
        <v>255</v>
      </c>
      <c r="AG64" s="13" t="s">
        <v>255</v>
      </c>
      <c r="AH64" s="13" t="s">
        <v>255</v>
      </c>
      <c r="AI64" s="13" t="s">
        <v>255</v>
      </c>
      <c r="AJ64" s="16" t="s">
        <v>255</v>
      </c>
      <c r="AK64" s="16" t="s">
        <v>255</v>
      </c>
    </row>
    <row r="65" spans="1:37" ht="13" x14ac:dyDescent="0.25">
      <c r="A65" s="6" t="s">
        <v>174</v>
      </c>
      <c r="B65" s="6" t="s">
        <v>53</v>
      </c>
      <c r="C65" s="12" t="s">
        <v>255</v>
      </c>
      <c r="D65" s="12" t="s">
        <v>255</v>
      </c>
      <c r="E65" s="12" t="s">
        <v>255</v>
      </c>
      <c r="F65" s="12" t="s">
        <v>255</v>
      </c>
      <c r="G65" s="12" t="s">
        <v>255</v>
      </c>
      <c r="H65" s="12" t="s">
        <v>255</v>
      </c>
      <c r="I65" s="12" t="s">
        <v>255</v>
      </c>
      <c r="J65" s="12" t="s">
        <v>255</v>
      </c>
      <c r="K65" s="12" t="s">
        <v>255</v>
      </c>
      <c r="L65" s="12" t="s">
        <v>255</v>
      </c>
      <c r="M65" s="12" t="s">
        <v>255</v>
      </c>
      <c r="N65" s="12" t="s">
        <v>255</v>
      </c>
      <c r="O65" s="12" t="s">
        <v>255</v>
      </c>
      <c r="P65" s="12" t="s">
        <v>255</v>
      </c>
      <c r="Q65" s="12" t="s">
        <v>255</v>
      </c>
      <c r="R65" s="12" t="s">
        <v>255</v>
      </c>
      <c r="S65" s="12" t="s">
        <v>255</v>
      </c>
      <c r="T65" s="12" t="s">
        <v>255</v>
      </c>
      <c r="U65" s="12" t="s">
        <v>255</v>
      </c>
      <c r="V65" s="12" t="s">
        <v>255</v>
      </c>
      <c r="W65" s="12" t="s">
        <v>255</v>
      </c>
      <c r="X65" s="12" t="s">
        <v>255</v>
      </c>
      <c r="Y65" s="12" t="s">
        <v>255</v>
      </c>
      <c r="Z65" s="12" t="s">
        <v>255</v>
      </c>
      <c r="AA65" s="12" t="s">
        <v>255</v>
      </c>
      <c r="AB65" s="12" t="s">
        <v>255</v>
      </c>
      <c r="AC65" s="12" t="s">
        <v>255</v>
      </c>
      <c r="AD65" s="14" t="s">
        <v>255</v>
      </c>
      <c r="AE65" s="14" t="s">
        <v>255</v>
      </c>
      <c r="AF65" s="14" t="s">
        <v>255</v>
      </c>
      <c r="AG65" s="14" t="s">
        <v>255</v>
      </c>
      <c r="AH65" s="14" t="s">
        <v>255</v>
      </c>
      <c r="AI65" s="14" t="s">
        <v>255</v>
      </c>
      <c r="AJ65" s="16" t="s">
        <v>255</v>
      </c>
      <c r="AK65" s="16" t="s">
        <v>255</v>
      </c>
    </row>
    <row r="66" spans="1:37" ht="13" x14ac:dyDescent="0.25">
      <c r="A66" s="6" t="s">
        <v>225</v>
      </c>
      <c r="B66" s="6" t="s">
        <v>47</v>
      </c>
      <c r="C66" s="10">
        <v>1687902</v>
      </c>
      <c r="D66" s="9">
        <v>1761418.311</v>
      </c>
      <c r="E66" s="10">
        <v>1773824</v>
      </c>
      <c r="F66" s="10">
        <v>1915024</v>
      </c>
      <c r="G66" s="9">
        <v>1895696.6470000001</v>
      </c>
      <c r="H66" s="9">
        <v>1963830.4809999999</v>
      </c>
      <c r="I66" s="9">
        <v>2085259.335</v>
      </c>
      <c r="J66" s="9">
        <v>2172811.023</v>
      </c>
      <c r="K66" s="9">
        <v>2202217.253</v>
      </c>
      <c r="L66" s="9">
        <v>2187978.8859999999</v>
      </c>
      <c r="M66" s="9">
        <v>2230447.7069999999</v>
      </c>
      <c r="N66" s="9">
        <v>2239030.7579999999</v>
      </c>
      <c r="O66" s="10">
        <v>2302084.7200000002</v>
      </c>
      <c r="P66" s="9">
        <v>2580672.2179999999</v>
      </c>
      <c r="Q66" s="9">
        <v>2654281.0490000001</v>
      </c>
      <c r="R66" s="9">
        <v>2830572.6710000001</v>
      </c>
      <c r="S66" s="9">
        <v>2940070.4670000002</v>
      </c>
      <c r="T66" s="9">
        <v>3095349.7659999998</v>
      </c>
      <c r="U66" s="9">
        <v>3288538.858</v>
      </c>
      <c r="V66" s="9">
        <v>3337876.4679999999</v>
      </c>
      <c r="W66" s="9">
        <v>3668110.804</v>
      </c>
      <c r="X66" s="9">
        <v>3453558.6669999999</v>
      </c>
      <c r="Y66" s="9">
        <v>3787597.659</v>
      </c>
      <c r="Z66" s="9">
        <v>3818827.4270000001</v>
      </c>
      <c r="AA66" s="9">
        <v>3575890.594</v>
      </c>
      <c r="AB66" s="9">
        <v>3738737.9640000002</v>
      </c>
      <c r="AC66" s="9">
        <v>3768073.3569999998</v>
      </c>
      <c r="AD66" s="13">
        <v>3805257.8829999999</v>
      </c>
      <c r="AE66" s="13">
        <v>3922432.2009999999</v>
      </c>
      <c r="AF66" s="13">
        <v>3977228.5950000002</v>
      </c>
      <c r="AG66" s="13">
        <v>3909394.2940000002</v>
      </c>
      <c r="AH66" s="13">
        <v>4221808.4960000003</v>
      </c>
      <c r="AI66" s="13">
        <v>4100781.327</v>
      </c>
      <c r="AJ66" s="16">
        <v>3935065.219</v>
      </c>
      <c r="AK66" s="16">
        <v>3920620.43</v>
      </c>
    </row>
    <row r="67" spans="1:37" ht="13" x14ac:dyDescent="0.25">
      <c r="A67" s="6" t="s">
        <v>225</v>
      </c>
      <c r="B67" s="6" t="s">
        <v>49</v>
      </c>
      <c r="C67" s="7">
        <v>9541</v>
      </c>
      <c r="D67" s="7">
        <v>12511</v>
      </c>
      <c r="E67" s="7">
        <v>12485</v>
      </c>
      <c r="F67" s="7">
        <v>15598</v>
      </c>
      <c r="G67" s="7">
        <v>18138</v>
      </c>
      <c r="H67" s="7">
        <v>18945</v>
      </c>
      <c r="I67" s="7">
        <v>20474</v>
      </c>
      <c r="J67" s="7">
        <v>24022</v>
      </c>
      <c r="K67" s="7">
        <v>25365</v>
      </c>
      <c r="L67" s="7">
        <v>26171</v>
      </c>
      <c r="M67" s="7">
        <v>32469</v>
      </c>
      <c r="N67" s="7">
        <v>38681</v>
      </c>
      <c r="O67" s="7">
        <v>50851</v>
      </c>
      <c r="P67" s="7">
        <v>66406</v>
      </c>
      <c r="Q67" s="8">
        <v>85946.986999999994</v>
      </c>
      <c r="R67" s="8">
        <v>106900.132</v>
      </c>
      <c r="S67" s="8">
        <v>136153.92199999999</v>
      </c>
      <c r="T67" s="8">
        <v>147028.26300000001</v>
      </c>
      <c r="U67" s="7">
        <v>141231.26</v>
      </c>
      <c r="V67" s="8">
        <v>172026.71100000001</v>
      </c>
      <c r="W67" s="8">
        <v>206334.592</v>
      </c>
      <c r="X67" s="8">
        <v>220906.245</v>
      </c>
      <c r="Y67" s="8">
        <v>221427.95300000001</v>
      </c>
      <c r="Z67" s="8">
        <v>261206.734</v>
      </c>
      <c r="AA67" s="8">
        <v>291626.61499999999</v>
      </c>
      <c r="AB67" s="8">
        <v>263144.95799999998</v>
      </c>
      <c r="AC67" s="8">
        <v>270062.93199999997</v>
      </c>
      <c r="AD67" s="14">
        <v>280449.61300000001</v>
      </c>
      <c r="AE67" s="14">
        <v>302849.45</v>
      </c>
      <c r="AF67" s="14">
        <v>312743.19500000001</v>
      </c>
      <c r="AG67" s="14">
        <v>342790.12699999998</v>
      </c>
      <c r="AH67" s="14">
        <v>386509.76400000002</v>
      </c>
      <c r="AI67" s="14">
        <v>320370.804</v>
      </c>
      <c r="AJ67" s="16">
        <v>282210.59999999998</v>
      </c>
      <c r="AK67" s="16">
        <v>285823.63199999998</v>
      </c>
    </row>
    <row r="68" spans="1:37" ht="13" x14ac:dyDescent="0.25">
      <c r="A68" s="6" t="s">
        <v>225</v>
      </c>
      <c r="B68" s="6" t="s">
        <v>50</v>
      </c>
      <c r="C68" s="10">
        <v>3369</v>
      </c>
      <c r="D68" s="10">
        <v>2232</v>
      </c>
      <c r="E68" s="10">
        <v>2538</v>
      </c>
      <c r="F68" s="10">
        <v>2454</v>
      </c>
      <c r="G68" s="10">
        <v>5963</v>
      </c>
      <c r="H68" s="10">
        <v>7548</v>
      </c>
      <c r="I68" s="10">
        <v>8733</v>
      </c>
      <c r="J68" s="10">
        <v>17194</v>
      </c>
      <c r="K68" s="10">
        <v>21875</v>
      </c>
      <c r="L68" s="10">
        <v>21025</v>
      </c>
      <c r="M68" s="10">
        <v>20214</v>
      </c>
      <c r="N68" s="10">
        <v>27498</v>
      </c>
      <c r="O68" s="10">
        <v>34960</v>
      </c>
      <c r="P68" s="10">
        <v>58296</v>
      </c>
      <c r="Q68" s="9">
        <v>69596.243000000002</v>
      </c>
      <c r="R68" s="9">
        <v>65551.876999999993</v>
      </c>
      <c r="S68" s="9">
        <v>78316.065000000002</v>
      </c>
      <c r="T68" s="9">
        <v>85679.078999999998</v>
      </c>
      <c r="U68" s="10">
        <v>83388.210000000006</v>
      </c>
      <c r="V68" s="9">
        <v>88846.606</v>
      </c>
      <c r="W68" s="9">
        <v>109187.02800000001</v>
      </c>
      <c r="X68" s="9">
        <v>121413.40700000001</v>
      </c>
      <c r="Y68" s="9">
        <v>137157.62299999999</v>
      </c>
      <c r="Z68" s="9">
        <v>156800.05799999999</v>
      </c>
      <c r="AA68" s="9">
        <v>173497.842</v>
      </c>
      <c r="AB68" s="9">
        <v>185828.18299999999</v>
      </c>
      <c r="AC68" s="9">
        <v>187853.92199999999</v>
      </c>
      <c r="AD68" s="13">
        <v>187749.65599999999</v>
      </c>
      <c r="AE68" s="13">
        <v>200207.93299999999</v>
      </c>
      <c r="AF68" s="13">
        <v>218987.29300000001</v>
      </c>
      <c r="AG68" s="13">
        <v>218536.035</v>
      </c>
      <c r="AH68" s="13">
        <v>241668.85500000001</v>
      </c>
      <c r="AI68" s="13">
        <v>212501.36</v>
      </c>
      <c r="AJ68" s="16">
        <v>194499.946</v>
      </c>
      <c r="AK68" s="16">
        <v>212278.20199999999</v>
      </c>
    </row>
    <row r="69" spans="1:37" ht="13" x14ac:dyDescent="0.25">
      <c r="A69" s="6" t="s">
        <v>225</v>
      </c>
      <c r="B69" s="6" t="s">
        <v>51</v>
      </c>
      <c r="C69" s="7">
        <v>7924</v>
      </c>
      <c r="D69" s="7">
        <v>10626</v>
      </c>
      <c r="E69" s="7">
        <v>2915</v>
      </c>
      <c r="F69" s="7">
        <v>1940</v>
      </c>
      <c r="G69" s="7">
        <v>352</v>
      </c>
      <c r="H69" s="7">
        <v>-5</v>
      </c>
      <c r="I69" s="7">
        <v>-1095</v>
      </c>
      <c r="J69" s="7">
        <v>474</v>
      </c>
      <c r="K69" s="7">
        <v>1337</v>
      </c>
      <c r="L69" s="7">
        <v>-2999</v>
      </c>
      <c r="M69" s="7">
        <v>-498</v>
      </c>
      <c r="N69" s="7">
        <v>3378</v>
      </c>
      <c r="O69" s="7">
        <v>1059</v>
      </c>
      <c r="P69" s="7">
        <v>-787</v>
      </c>
      <c r="Q69" s="7">
        <v>-1368</v>
      </c>
      <c r="R69" s="8">
        <v>-2418.998</v>
      </c>
      <c r="S69" s="8">
        <v>-2838.8180000000002</v>
      </c>
      <c r="T69" s="8">
        <v>-1832.328</v>
      </c>
      <c r="U69" s="7">
        <v>-2586.06</v>
      </c>
      <c r="V69" s="7">
        <v>-6075.5</v>
      </c>
      <c r="W69" s="8">
        <v>4467.3329999999996</v>
      </c>
      <c r="X69" s="8">
        <v>-7781.0709999999999</v>
      </c>
      <c r="Y69" s="8">
        <v>-3208.721</v>
      </c>
      <c r="Z69" s="8">
        <v>5282.933</v>
      </c>
      <c r="AA69" s="8">
        <v>-2791.1840000000002</v>
      </c>
      <c r="AB69" s="8">
        <v>-2172.1990000000001</v>
      </c>
      <c r="AC69" s="8">
        <v>392.322</v>
      </c>
      <c r="AD69" s="14">
        <v>5936.8410000000003</v>
      </c>
      <c r="AE69" s="14">
        <v>-9558.4789999999994</v>
      </c>
      <c r="AF69" s="14">
        <v>-2698.8989999999999</v>
      </c>
      <c r="AG69" s="14">
        <v>-8187.6450000000004</v>
      </c>
      <c r="AH69" s="14">
        <v>9368.1890000000003</v>
      </c>
      <c r="AI69" s="14">
        <v>-5629.1130000000003</v>
      </c>
      <c r="AJ69" s="16">
        <v>-12438.89</v>
      </c>
      <c r="AK69" s="16">
        <v>6044.1540000000005</v>
      </c>
    </row>
    <row r="70" spans="1:37" ht="13" x14ac:dyDescent="0.25">
      <c r="A70" s="6" t="s">
        <v>225</v>
      </c>
      <c r="B70" s="6" t="s">
        <v>53</v>
      </c>
      <c r="C70" s="10">
        <v>1701998</v>
      </c>
      <c r="D70" s="9">
        <v>1782323.311</v>
      </c>
      <c r="E70" s="10">
        <v>1786686</v>
      </c>
      <c r="F70" s="10">
        <v>1930108</v>
      </c>
      <c r="G70" s="9">
        <v>1908223.6470000001</v>
      </c>
      <c r="H70" s="9">
        <v>1975222.4809999999</v>
      </c>
      <c r="I70" s="9">
        <v>2095905.335</v>
      </c>
      <c r="J70" s="9">
        <v>2180113.023</v>
      </c>
      <c r="K70" s="9">
        <v>2207044.253</v>
      </c>
      <c r="L70" s="9">
        <v>2190125.8859999999</v>
      </c>
      <c r="M70" s="9">
        <v>2242204.7069999999</v>
      </c>
      <c r="N70" s="9">
        <v>2253591.7579999999</v>
      </c>
      <c r="O70" s="10">
        <v>2319034.7200000002</v>
      </c>
      <c r="P70" s="9">
        <v>2587995.2179999999</v>
      </c>
      <c r="Q70" s="9">
        <v>2669263.7930000001</v>
      </c>
      <c r="R70" s="9">
        <v>2869501.9279999998</v>
      </c>
      <c r="S70" s="9">
        <v>2995069.5060000001</v>
      </c>
      <c r="T70" s="9">
        <v>3154866.622</v>
      </c>
      <c r="U70" s="9">
        <v>3343795.8480000002</v>
      </c>
      <c r="V70" s="9">
        <v>3414981.0729999999</v>
      </c>
      <c r="W70" s="9">
        <v>3769725.7009999999</v>
      </c>
      <c r="X70" s="10">
        <v>3545270.4339999999</v>
      </c>
      <c r="Y70" s="9">
        <v>3868659.2680000002</v>
      </c>
      <c r="Z70" s="10">
        <v>3928517.0359999998</v>
      </c>
      <c r="AA70" s="9">
        <v>3691228.1830000002</v>
      </c>
      <c r="AB70" s="9">
        <v>3813882.54</v>
      </c>
      <c r="AC70" s="10">
        <v>3850674.6889999998</v>
      </c>
      <c r="AD70" s="13">
        <v>3903894.6809999999</v>
      </c>
      <c r="AE70" s="13">
        <v>4015515.2390000001</v>
      </c>
      <c r="AF70" s="13">
        <v>4068285.5980000002</v>
      </c>
      <c r="AG70" s="13">
        <v>4025460.7409999999</v>
      </c>
      <c r="AH70" s="13">
        <v>4376017.5939999996</v>
      </c>
      <c r="AI70" s="13">
        <v>4203021.6579999998</v>
      </c>
      <c r="AJ70" s="16">
        <v>4010336.983</v>
      </c>
      <c r="AK70" s="16">
        <v>4000210.014</v>
      </c>
    </row>
    <row r="71" spans="1:37" ht="13" x14ac:dyDescent="0.25">
      <c r="A71" s="6" t="s">
        <v>188</v>
      </c>
      <c r="B71" s="6" t="s">
        <v>47</v>
      </c>
      <c r="C71" s="10">
        <v>19637</v>
      </c>
      <c r="D71" s="10">
        <v>20411</v>
      </c>
      <c r="E71" s="10">
        <v>23667</v>
      </c>
      <c r="F71" s="10">
        <v>27455</v>
      </c>
      <c r="G71" s="10">
        <v>29063</v>
      </c>
      <c r="H71" s="10">
        <v>32752</v>
      </c>
      <c r="I71" s="10">
        <v>36883</v>
      </c>
      <c r="J71" s="10">
        <v>42991</v>
      </c>
      <c r="K71" s="10">
        <v>44806</v>
      </c>
      <c r="L71" s="10">
        <v>45819</v>
      </c>
      <c r="M71" s="9">
        <v>57626.741000000002</v>
      </c>
      <c r="N71" s="9">
        <v>74215.660999999993</v>
      </c>
      <c r="O71" s="9">
        <v>98368.501999999993</v>
      </c>
      <c r="P71" s="9">
        <v>94192.462</v>
      </c>
      <c r="Q71" s="9">
        <v>98145.148000000001</v>
      </c>
      <c r="R71" s="9">
        <v>112199.63499999999</v>
      </c>
      <c r="S71" s="9">
        <v>127120.61599999999</v>
      </c>
      <c r="T71" s="9">
        <v>181405.08199999999</v>
      </c>
      <c r="U71" s="9">
        <v>215667.11499999999</v>
      </c>
      <c r="V71" s="9">
        <v>248451.93400000001</v>
      </c>
      <c r="W71" s="9">
        <v>292896.38799999998</v>
      </c>
      <c r="X71" s="9">
        <v>362543.47499999998</v>
      </c>
      <c r="Y71" s="9">
        <v>430811.23300000001</v>
      </c>
      <c r="Z71" s="9">
        <v>497146.315</v>
      </c>
      <c r="AA71" s="9">
        <v>530262.66599999997</v>
      </c>
      <c r="AB71" s="9">
        <v>550612.39599999995</v>
      </c>
      <c r="AC71" s="9">
        <v>568307.86199999996</v>
      </c>
      <c r="AD71" s="13">
        <v>581091.40899999999</v>
      </c>
      <c r="AE71" s="13">
        <v>579512.90399999998</v>
      </c>
      <c r="AF71" s="13">
        <v>591485.174</v>
      </c>
      <c r="AG71" s="13">
        <v>613906.62699999998</v>
      </c>
      <c r="AH71" s="13">
        <v>651488.41599999997</v>
      </c>
      <c r="AI71" s="13">
        <v>662059.47600000002</v>
      </c>
      <c r="AJ71" s="16">
        <v>661071.04099999997</v>
      </c>
      <c r="AK71" s="16">
        <v>684535.03300000005</v>
      </c>
    </row>
    <row r="72" spans="1:37" ht="13" x14ac:dyDescent="0.25">
      <c r="A72" s="6" t="s">
        <v>188</v>
      </c>
      <c r="B72" s="6" t="s">
        <v>49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19.3</v>
      </c>
      <c r="X72" s="7">
        <v>82.4</v>
      </c>
      <c r="Y72" s="7">
        <v>79.099999999999994</v>
      </c>
      <c r="Z72" s="7">
        <v>0</v>
      </c>
      <c r="AA72" s="7">
        <v>0</v>
      </c>
      <c r="AB72" s="7">
        <v>0</v>
      </c>
      <c r="AC72" s="7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6">
        <v>0</v>
      </c>
      <c r="AK72" s="16">
        <v>0</v>
      </c>
    </row>
    <row r="73" spans="1:37" ht="13" x14ac:dyDescent="0.25">
      <c r="A73" s="6" t="s">
        <v>188</v>
      </c>
      <c r="B73" s="6" t="s">
        <v>50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6">
        <v>0</v>
      </c>
      <c r="AK73" s="16">
        <v>0</v>
      </c>
    </row>
    <row r="74" spans="1:37" ht="13" x14ac:dyDescent="0.25">
      <c r="A74" s="6" t="s">
        <v>188</v>
      </c>
      <c r="B74" s="6" t="s">
        <v>51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27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-66.847999999999999</v>
      </c>
      <c r="AJ74" s="16">
        <v>0</v>
      </c>
      <c r="AK74" s="16">
        <v>0</v>
      </c>
    </row>
    <row r="75" spans="1:37" ht="13" x14ac:dyDescent="0.25">
      <c r="A75" s="6" t="s">
        <v>188</v>
      </c>
      <c r="B75" s="6" t="s">
        <v>53</v>
      </c>
      <c r="C75" s="10">
        <v>19637</v>
      </c>
      <c r="D75" s="10">
        <v>20411</v>
      </c>
      <c r="E75" s="10">
        <v>23667</v>
      </c>
      <c r="F75" s="10">
        <v>27455</v>
      </c>
      <c r="G75" s="10">
        <v>29063</v>
      </c>
      <c r="H75" s="10">
        <v>32752</v>
      </c>
      <c r="I75" s="10">
        <v>36883</v>
      </c>
      <c r="J75" s="10">
        <v>43018</v>
      </c>
      <c r="K75" s="10">
        <v>44806</v>
      </c>
      <c r="L75" s="10">
        <v>45819</v>
      </c>
      <c r="M75" s="9">
        <v>57626.741000000002</v>
      </c>
      <c r="N75" s="9">
        <v>74215.660999999993</v>
      </c>
      <c r="O75" s="9">
        <v>98368.501999999993</v>
      </c>
      <c r="P75" s="9">
        <v>94192.462</v>
      </c>
      <c r="Q75" s="9">
        <v>98145.148000000001</v>
      </c>
      <c r="R75" s="9">
        <v>112199.63499999999</v>
      </c>
      <c r="S75" s="9">
        <v>127120.61599999999</v>
      </c>
      <c r="T75" s="9">
        <v>181405.08199999999</v>
      </c>
      <c r="U75" s="9">
        <v>215667.11499999999</v>
      </c>
      <c r="V75" s="9">
        <v>248451.93400000001</v>
      </c>
      <c r="W75" s="9">
        <v>292915.68800000002</v>
      </c>
      <c r="X75" s="9">
        <v>362625.875</v>
      </c>
      <c r="Y75" s="9">
        <v>430890.33299999998</v>
      </c>
      <c r="Z75" s="9">
        <v>497146.315</v>
      </c>
      <c r="AA75" s="9">
        <v>530262.66599999997</v>
      </c>
      <c r="AB75" s="9">
        <v>550612.39599999995</v>
      </c>
      <c r="AC75" s="9">
        <v>568307.86199999996</v>
      </c>
      <c r="AD75" s="13">
        <v>581091.40899999999</v>
      </c>
      <c r="AE75" s="13">
        <v>579512.90399999998</v>
      </c>
      <c r="AF75" s="13">
        <v>591485.174</v>
      </c>
      <c r="AG75" s="13">
        <v>613906.62699999998</v>
      </c>
      <c r="AH75" s="13">
        <v>651488.41599999997</v>
      </c>
      <c r="AI75" s="13">
        <v>661992.62800000003</v>
      </c>
      <c r="AJ75" s="16">
        <v>661071.04099999997</v>
      </c>
      <c r="AK75" s="16">
        <v>684535.03300000005</v>
      </c>
    </row>
    <row r="76" spans="1:37" ht="13" x14ac:dyDescent="0.25">
      <c r="A76" s="6" t="s">
        <v>189</v>
      </c>
      <c r="B76" s="6" t="s">
        <v>47</v>
      </c>
      <c r="C76" s="7">
        <v>72986</v>
      </c>
      <c r="D76" s="7">
        <v>77443</v>
      </c>
      <c r="E76" s="7">
        <v>94731</v>
      </c>
      <c r="F76" s="7">
        <v>90063</v>
      </c>
      <c r="G76" s="7">
        <v>104941</v>
      </c>
      <c r="H76" s="7">
        <v>124544</v>
      </c>
      <c r="I76" s="7">
        <v>118612</v>
      </c>
      <c r="J76" s="7">
        <v>118509</v>
      </c>
      <c r="K76" s="7">
        <v>108005</v>
      </c>
      <c r="L76" s="7">
        <v>92263</v>
      </c>
      <c r="M76" s="8">
        <v>98795.441999999995</v>
      </c>
      <c r="N76" s="8">
        <v>116474.715</v>
      </c>
      <c r="O76" s="8">
        <v>106744.64599999999</v>
      </c>
      <c r="P76" s="8">
        <v>52919.430999999997</v>
      </c>
      <c r="Q76" s="8">
        <v>58061.387999999999</v>
      </c>
      <c r="R76" s="8">
        <v>52484.764000000003</v>
      </c>
      <c r="S76" s="8">
        <v>58477.114000000001</v>
      </c>
      <c r="T76" s="8">
        <v>66475.180999999997</v>
      </c>
      <c r="U76" s="8">
        <v>97306.448000000004</v>
      </c>
      <c r="V76" s="7">
        <v>128203.52</v>
      </c>
      <c r="W76" s="8">
        <v>144249.17199999999</v>
      </c>
      <c r="X76" s="8">
        <v>162891.677</v>
      </c>
      <c r="Y76" s="8">
        <v>160776.853</v>
      </c>
      <c r="Z76" s="8">
        <v>152725.59700000001</v>
      </c>
      <c r="AA76" s="8">
        <v>164010.47099999999</v>
      </c>
      <c r="AB76" s="8">
        <v>172766.09700000001</v>
      </c>
      <c r="AC76" s="8">
        <v>189477.266</v>
      </c>
      <c r="AD76" s="14">
        <v>181124.41399999999</v>
      </c>
      <c r="AE76" s="14">
        <v>190291.97899999999</v>
      </c>
      <c r="AF76" s="14">
        <v>195121.85500000001</v>
      </c>
      <c r="AG76" s="14">
        <v>199040.51699999999</v>
      </c>
      <c r="AH76" s="14">
        <v>202382.598</v>
      </c>
      <c r="AI76" s="14">
        <v>201853.56099999999</v>
      </c>
      <c r="AJ76" s="16">
        <v>198727.03400000001</v>
      </c>
      <c r="AK76" s="16">
        <v>192398.1</v>
      </c>
    </row>
    <row r="77" spans="1:37" ht="13" x14ac:dyDescent="0.25">
      <c r="A77" s="6" t="s">
        <v>189</v>
      </c>
      <c r="B77" s="6" t="s">
        <v>49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23</v>
      </c>
      <c r="P77" s="10">
        <v>24</v>
      </c>
      <c r="Q77" s="10">
        <v>0</v>
      </c>
      <c r="R77" s="10">
        <v>7</v>
      </c>
      <c r="S77" s="10">
        <v>15</v>
      </c>
      <c r="T77" s="10">
        <v>157</v>
      </c>
      <c r="U77" s="10">
        <v>278</v>
      </c>
      <c r="V77" s="10">
        <v>113</v>
      </c>
      <c r="W77" s="10">
        <v>2475.3000000000002</v>
      </c>
      <c r="X77" s="10">
        <v>4797.3999999999996</v>
      </c>
      <c r="Y77" s="10">
        <v>2811.4</v>
      </c>
      <c r="Z77" s="10">
        <v>3750.8</v>
      </c>
      <c r="AA77" s="10">
        <v>3468.8</v>
      </c>
      <c r="AB77" s="10">
        <v>4566.1000000000004</v>
      </c>
      <c r="AC77" s="10">
        <v>4908.7</v>
      </c>
      <c r="AD77" s="13">
        <v>4742.7939999999999</v>
      </c>
      <c r="AE77" s="13">
        <v>5622.2449999999999</v>
      </c>
      <c r="AF77" s="13">
        <v>6760.1779999999999</v>
      </c>
      <c r="AG77" s="13">
        <v>7268.902</v>
      </c>
      <c r="AH77" s="13">
        <v>7548.9009999999998</v>
      </c>
      <c r="AI77" s="13">
        <v>6737.1790000000001</v>
      </c>
      <c r="AJ77" s="16">
        <v>6735.5789999999997</v>
      </c>
      <c r="AK77" s="16">
        <v>6216.5020000000004</v>
      </c>
    </row>
    <row r="78" spans="1:37" ht="13" x14ac:dyDescent="0.25">
      <c r="A78" s="6" t="s">
        <v>189</v>
      </c>
      <c r="B78" s="6" t="s">
        <v>50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7</v>
      </c>
      <c r="O78" s="7">
        <v>0</v>
      </c>
      <c r="P78" s="7">
        <v>103</v>
      </c>
      <c r="Q78" s="7">
        <v>7</v>
      </c>
      <c r="R78" s="7">
        <v>0</v>
      </c>
      <c r="S78" s="7">
        <v>0</v>
      </c>
      <c r="T78" s="7">
        <v>0</v>
      </c>
      <c r="U78" s="7">
        <v>0</v>
      </c>
      <c r="V78" s="7">
        <v>1</v>
      </c>
      <c r="W78" s="7">
        <v>0</v>
      </c>
      <c r="X78" s="7">
        <v>0</v>
      </c>
      <c r="Y78" s="7">
        <v>0</v>
      </c>
      <c r="Z78" s="7">
        <v>729</v>
      </c>
      <c r="AA78" s="7">
        <v>0</v>
      </c>
      <c r="AB78" s="7">
        <v>0</v>
      </c>
      <c r="AC78" s="7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6">
        <v>0</v>
      </c>
      <c r="AK78" s="16">
        <v>0</v>
      </c>
    </row>
    <row r="79" spans="1:37" ht="13" x14ac:dyDescent="0.25">
      <c r="A79" s="6" t="s">
        <v>189</v>
      </c>
      <c r="B79" s="6" t="s">
        <v>51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-11</v>
      </c>
      <c r="I79" s="10">
        <v>0</v>
      </c>
      <c r="J79" s="10">
        <v>-2</v>
      </c>
      <c r="K79" s="10">
        <v>-4</v>
      </c>
      <c r="L79" s="10">
        <v>0</v>
      </c>
      <c r="M79" s="10">
        <v>183</v>
      </c>
      <c r="N79" s="10">
        <v>78</v>
      </c>
      <c r="O79" s="10">
        <v>256</v>
      </c>
      <c r="P79" s="10">
        <v>65</v>
      </c>
      <c r="Q79" s="10">
        <v>12</v>
      </c>
      <c r="R79" s="10">
        <v>-12</v>
      </c>
      <c r="S79" s="10">
        <v>-11</v>
      </c>
      <c r="T79" s="10">
        <v>-41</v>
      </c>
      <c r="U79" s="10">
        <v>-101</v>
      </c>
      <c r="V79" s="10">
        <v>2</v>
      </c>
      <c r="W79" s="10">
        <v>-3</v>
      </c>
      <c r="X79" s="10">
        <v>23</v>
      </c>
      <c r="Y79" s="10">
        <v>65</v>
      </c>
      <c r="Z79" s="10">
        <v>131</v>
      </c>
      <c r="AA79" s="10">
        <v>70</v>
      </c>
      <c r="AB79" s="10">
        <v>22</v>
      </c>
      <c r="AC79" s="10">
        <v>-58</v>
      </c>
      <c r="AD79" s="13">
        <v>-134.386</v>
      </c>
      <c r="AE79" s="13">
        <v>-183.59200000000001</v>
      </c>
      <c r="AF79" s="13">
        <v>212.523</v>
      </c>
      <c r="AG79" s="13">
        <v>-26.65</v>
      </c>
      <c r="AH79" s="13">
        <v>71.097999999999999</v>
      </c>
      <c r="AI79" s="13">
        <v>-251.77600000000001</v>
      </c>
      <c r="AJ79" s="16">
        <v>98.272000000000006</v>
      </c>
      <c r="AK79" s="16">
        <v>26.271999999999998</v>
      </c>
    </row>
    <row r="80" spans="1:37" ht="13" x14ac:dyDescent="0.25">
      <c r="A80" s="6" t="s">
        <v>189</v>
      </c>
      <c r="B80" s="6" t="s">
        <v>53</v>
      </c>
      <c r="C80" s="7">
        <v>72986</v>
      </c>
      <c r="D80" s="7">
        <v>77443</v>
      </c>
      <c r="E80" s="7">
        <v>94731</v>
      </c>
      <c r="F80" s="7">
        <v>90063</v>
      </c>
      <c r="G80" s="7">
        <v>104941</v>
      </c>
      <c r="H80" s="7">
        <v>124533</v>
      </c>
      <c r="I80" s="7">
        <v>118612</v>
      </c>
      <c r="J80" s="7">
        <v>118507</v>
      </c>
      <c r="K80" s="7">
        <v>108001</v>
      </c>
      <c r="L80" s="7">
        <v>92263</v>
      </c>
      <c r="M80" s="8">
        <v>98978.441999999995</v>
      </c>
      <c r="N80" s="8">
        <v>116545.715</v>
      </c>
      <c r="O80" s="8">
        <v>107023.64599999999</v>
      </c>
      <c r="P80" s="8">
        <v>52905.430999999997</v>
      </c>
      <c r="Q80" s="8">
        <v>58066.387999999999</v>
      </c>
      <c r="R80" s="8">
        <v>52479.764000000003</v>
      </c>
      <c r="S80" s="8">
        <v>58481.114000000001</v>
      </c>
      <c r="T80" s="8">
        <v>66591.180999999997</v>
      </c>
      <c r="U80" s="8">
        <v>97483.448000000004</v>
      </c>
      <c r="V80" s="7">
        <v>128317.52</v>
      </c>
      <c r="W80" s="8">
        <v>146721.47200000001</v>
      </c>
      <c r="X80" s="8">
        <v>167712.07699999999</v>
      </c>
      <c r="Y80" s="8">
        <v>163653.253</v>
      </c>
      <c r="Z80" s="8">
        <v>155878.397</v>
      </c>
      <c r="AA80" s="8">
        <v>167549.27100000001</v>
      </c>
      <c r="AB80" s="8">
        <v>177354.19699999999</v>
      </c>
      <c r="AC80" s="8">
        <v>194327.96599999999</v>
      </c>
      <c r="AD80" s="14">
        <v>185732.82199999999</v>
      </c>
      <c r="AE80" s="14">
        <v>195730.63200000001</v>
      </c>
      <c r="AF80" s="14">
        <v>202094.55600000001</v>
      </c>
      <c r="AG80" s="14">
        <v>206282.769</v>
      </c>
      <c r="AH80" s="14">
        <v>210002.59700000001</v>
      </c>
      <c r="AI80" s="14">
        <v>208338.96400000001</v>
      </c>
      <c r="AJ80" s="16">
        <v>205560.88500000001</v>
      </c>
      <c r="AK80" s="16">
        <v>198640.87400000001</v>
      </c>
    </row>
    <row r="81" spans="1:37" ht="13" x14ac:dyDescent="0.25">
      <c r="A81" s="6" t="s">
        <v>190</v>
      </c>
      <c r="B81" s="6" t="s">
        <v>47</v>
      </c>
      <c r="C81" s="10">
        <v>84746</v>
      </c>
      <c r="D81" s="10">
        <v>87895</v>
      </c>
      <c r="E81" s="10">
        <v>89735</v>
      </c>
      <c r="F81" s="10">
        <v>93318</v>
      </c>
      <c r="G81" s="10">
        <v>94287</v>
      </c>
      <c r="H81" s="10">
        <v>105726</v>
      </c>
      <c r="I81" s="10">
        <v>115026</v>
      </c>
      <c r="J81" s="10">
        <v>121606</v>
      </c>
      <c r="K81" s="10">
        <v>127739</v>
      </c>
      <c r="L81" s="10">
        <v>140403</v>
      </c>
      <c r="M81" s="9">
        <v>148077.636</v>
      </c>
      <c r="N81" s="9">
        <v>155452.50399999999</v>
      </c>
      <c r="O81" s="9">
        <v>157980.68799999999</v>
      </c>
      <c r="P81" s="9">
        <v>192443.859</v>
      </c>
      <c r="Q81" s="9">
        <v>206687.53599999999</v>
      </c>
      <c r="R81" s="9">
        <v>237313.52799999999</v>
      </c>
      <c r="S81" s="9">
        <v>256858.853</v>
      </c>
      <c r="T81" s="9">
        <v>288152.21500000003</v>
      </c>
      <c r="U81" s="9">
        <v>288942.21299999999</v>
      </c>
      <c r="V81" s="9">
        <v>291982.93400000001</v>
      </c>
      <c r="W81" s="9">
        <v>308767.36900000001</v>
      </c>
      <c r="X81" s="10">
        <v>314602.391</v>
      </c>
      <c r="Y81" s="9">
        <v>327717.196</v>
      </c>
      <c r="Z81" s="9">
        <v>347608.25300000003</v>
      </c>
      <c r="AA81" s="10">
        <v>357732.45</v>
      </c>
      <c r="AB81" s="9">
        <v>362506.60700000002</v>
      </c>
      <c r="AC81" s="9">
        <v>369059.49200000003</v>
      </c>
      <c r="AD81" s="13">
        <v>380719.39</v>
      </c>
      <c r="AE81" s="13">
        <v>372552.03</v>
      </c>
      <c r="AF81" s="13">
        <v>378892.11700000003</v>
      </c>
      <c r="AG81" s="13">
        <v>383978.85700000002</v>
      </c>
      <c r="AH81" s="13">
        <v>389613.75</v>
      </c>
      <c r="AI81" s="13">
        <v>384513.59100000001</v>
      </c>
      <c r="AJ81" s="16">
        <v>367289.03399999999</v>
      </c>
      <c r="AK81" s="16">
        <v>378047.77</v>
      </c>
    </row>
    <row r="82" spans="1:37" ht="13" x14ac:dyDescent="0.25">
      <c r="A82" s="6" t="s">
        <v>190</v>
      </c>
      <c r="B82" s="6" t="s">
        <v>49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9</v>
      </c>
      <c r="P82" s="7">
        <v>16</v>
      </c>
      <c r="Q82" s="7">
        <v>13</v>
      </c>
      <c r="R82" s="7">
        <v>136</v>
      </c>
      <c r="S82" s="7">
        <v>232</v>
      </c>
      <c r="T82" s="7">
        <v>719</v>
      </c>
      <c r="U82" s="7">
        <v>163</v>
      </c>
      <c r="V82" s="7">
        <v>820</v>
      </c>
      <c r="W82" s="7">
        <v>1473</v>
      </c>
      <c r="X82" s="7">
        <v>4352</v>
      </c>
      <c r="Y82" s="7">
        <v>9113</v>
      </c>
      <c r="Z82" s="7">
        <v>13471</v>
      </c>
      <c r="AA82" s="7">
        <v>14219.8</v>
      </c>
      <c r="AB82" s="7">
        <v>15982.97</v>
      </c>
      <c r="AC82" s="7">
        <v>18532.52</v>
      </c>
      <c r="AD82" s="14">
        <v>19386.88</v>
      </c>
      <c r="AE82" s="14">
        <v>19437.838</v>
      </c>
      <c r="AF82" s="14">
        <v>18491.984</v>
      </c>
      <c r="AG82" s="14">
        <v>17203.476999999999</v>
      </c>
      <c r="AH82" s="14">
        <v>21196.838</v>
      </c>
      <c r="AI82" s="14">
        <v>20656.665000000001</v>
      </c>
      <c r="AJ82" s="16">
        <v>21507.915000000001</v>
      </c>
      <c r="AK82" s="16">
        <v>23727.255000000001</v>
      </c>
    </row>
    <row r="83" spans="1:37" ht="13" x14ac:dyDescent="0.25">
      <c r="A83" s="6" t="s">
        <v>190</v>
      </c>
      <c r="B83" s="6" t="s">
        <v>50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1</v>
      </c>
      <c r="Q83" s="10">
        <v>0</v>
      </c>
      <c r="R83" s="10">
        <v>0</v>
      </c>
      <c r="S83" s="10">
        <v>4</v>
      </c>
      <c r="T83" s="10">
        <v>1</v>
      </c>
      <c r="U83" s="10">
        <v>0</v>
      </c>
      <c r="V83" s="10">
        <v>1</v>
      </c>
      <c r="W83" s="10">
        <v>52</v>
      </c>
      <c r="X83" s="10">
        <v>1381</v>
      </c>
      <c r="Y83" s="10">
        <v>1539</v>
      </c>
      <c r="Z83" s="10">
        <v>1642</v>
      </c>
      <c r="AA83" s="10">
        <v>1745</v>
      </c>
      <c r="AB83" s="10">
        <v>1840.693</v>
      </c>
      <c r="AC83" s="10">
        <v>2168.8249999999998</v>
      </c>
      <c r="AD83" s="13">
        <v>2627.1750000000002</v>
      </c>
      <c r="AE83" s="13">
        <v>2080.8339999999998</v>
      </c>
      <c r="AF83" s="13">
        <v>2403.8960000000002</v>
      </c>
      <c r="AG83" s="13">
        <v>1920.4559999999999</v>
      </c>
      <c r="AH83" s="13">
        <v>1269.4459999999999</v>
      </c>
      <c r="AI83" s="13">
        <v>1052.4459999999999</v>
      </c>
      <c r="AJ83" s="16">
        <v>1009.667</v>
      </c>
      <c r="AK83" s="16">
        <v>1009.667</v>
      </c>
    </row>
    <row r="84" spans="1:37" ht="13" x14ac:dyDescent="0.25">
      <c r="A84" s="6" t="s">
        <v>190</v>
      </c>
      <c r="B84" s="6" t="s">
        <v>51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4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0</v>
      </c>
      <c r="U84" s="7">
        <v>-7</v>
      </c>
      <c r="V84" s="7">
        <v>16</v>
      </c>
      <c r="W84" s="7">
        <v>-7</v>
      </c>
      <c r="X84" s="7">
        <v>-8</v>
      </c>
      <c r="Y84" s="7">
        <v>-2</v>
      </c>
      <c r="Z84" s="7">
        <v>-2</v>
      </c>
      <c r="AA84" s="7">
        <v>2</v>
      </c>
      <c r="AB84" s="7">
        <v>9</v>
      </c>
      <c r="AC84" s="7">
        <v>-82</v>
      </c>
      <c r="AD84" s="14">
        <v>41.746000000000002</v>
      </c>
      <c r="AE84" s="14">
        <v>-122.02200000000001</v>
      </c>
      <c r="AF84" s="14">
        <v>-137.85499999999999</v>
      </c>
      <c r="AG84" s="14">
        <v>149.167</v>
      </c>
      <c r="AH84" s="14">
        <v>69.102000000000004</v>
      </c>
      <c r="AI84" s="14">
        <v>-125.279</v>
      </c>
      <c r="AJ84" s="16">
        <v>17.853999999999999</v>
      </c>
      <c r="AK84" s="16">
        <v>48.747999999999998</v>
      </c>
    </row>
    <row r="85" spans="1:37" ht="13" x14ac:dyDescent="0.25">
      <c r="A85" s="6" t="s">
        <v>190</v>
      </c>
      <c r="B85" s="6" t="s">
        <v>53</v>
      </c>
      <c r="C85" s="10">
        <v>84746</v>
      </c>
      <c r="D85" s="10">
        <v>87895</v>
      </c>
      <c r="E85" s="10">
        <v>89735</v>
      </c>
      <c r="F85" s="10">
        <v>93318</v>
      </c>
      <c r="G85" s="10">
        <v>94287</v>
      </c>
      <c r="H85" s="10">
        <v>105726</v>
      </c>
      <c r="I85" s="10">
        <v>115026</v>
      </c>
      <c r="J85" s="10">
        <v>121606</v>
      </c>
      <c r="K85" s="10">
        <v>127739</v>
      </c>
      <c r="L85" s="10">
        <v>140403</v>
      </c>
      <c r="M85" s="9">
        <v>148081.636</v>
      </c>
      <c r="N85" s="9">
        <v>155452.50399999999</v>
      </c>
      <c r="O85" s="9">
        <v>157989.68799999999</v>
      </c>
      <c r="P85" s="9">
        <v>192458.859</v>
      </c>
      <c r="Q85" s="9">
        <v>206700.53599999999</v>
      </c>
      <c r="R85" s="9">
        <v>237449.52799999999</v>
      </c>
      <c r="S85" s="9">
        <v>257089.853</v>
      </c>
      <c r="T85" s="9">
        <v>288870.21500000003</v>
      </c>
      <c r="U85" s="9">
        <v>289098.21299999999</v>
      </c>
      <c r="V85" s="9">
        <v>292817.93400000001</v>
      </c>
      <c r="W85" s="9">
        <v>310181.36900000001</v>
      </c>
      <c r="X85" s="10">
        <v>317565.391</v>
      </c>
      <c r="Y85" s="9">
        <v>335289.196</v>
      </c>
      <c r="Z85" s="9">
        <v>359435.25300000003</v>
      </c>
      <c r="AA85" s="10">
        <v>370209.25</v>
      </c>
      <c r="AB85" s="9">
        <v>376657.88400000002</v>
      </c>
      <c r="AC85" s="9">
        <v>385341.18699999998</v>
      </c>
      <c r="AD85" s="13">
        <v>397520.84100000001</v>
      </c>
      <c r="AE85" s="13">
        <v>389787.01199999999</v>
      </c>
      <c r="AF85" s="13">
        <v>394842.35</v>
      </c>
      <c r="AG85" s="13">
        <v>399411.04499999998</v>
      </c>
      <c r="AH85" s="13">
        <v>409610.24400000001</v>
      </c>
      <c r="AI85" s="13">
        <v>403992.53100000002</v>
      </c>
      <c r="AJ85" s="16">
        <v>387805.136</v>
      </c>
      <c r="AK85" s="16">
        <v>400814.10600000003</v>
      </c>
    </row>
    <row r="86" spans="1:37" ht="13" x14ac:dyDescent="0.25">
      <c r="A86" s="6" t="s">
        <v>191</v>
      </c>
      <c r="B86" s="6" t="s">
        <v>47</v>
      </c>
      <c r="C86" s="7">
        <v>82943</v>
      </c>
      <c r="D86" s="7">
        <v>86539</v>
      </c>
      <c r="E86" s="7">
        <v>88579</v>
      </c>
      <c r="F86" s="7">
        <v>92161</v>
      </c>
      <c r="G86" s="7">
        <v>93633</v>
      </c>
      <c r="H86" s="7">
        <v>105464</v>
      </c>
      <c r="I86" s="7">
        <v>114913</v>
      </c>
      <c r="J86" s="7">
        <v>121922</v>
      </c>
      <c r="K86" s="7">
        <v>127544</v>
      </c>
      <c r="L86" s="7">
        <v>140296</v>
      </c>
      <c r="M86" s="8">
        <v>146928.94200000001</v>
      </c>
      <c r="N86" s="8">
        <v>155384.23800000001</v>
      </c>
      <c r="O86" s="8">
        <v>158160.932</v>
      </c>
      <c r="P86" s="8">
        <v>200471.06099999999</v>
      </c>
      <c r="Q86" s="8">
        <v>216321.889</v>
      </c>
      <c r="R86" s="8">
        <v>248218.63800000001</v>
      </c>
      <c r="S86" s="8">
        <v>272620.212</v>
      </c>
      <c r="T86" s="8">
        <v>283912.49200000003</v>
      </c>
      <c r="U86" s="8">
        <v>283454.99300000002</v>
      </c>
      <c r="V86" s="8">
        <v>289961.18099999998</v>
      </c>
      <c r="W86" s="7">
        <v>298301.39</v>
      </c>
      <c r="X86" s="8">
        <v>302888.92800000001</v>
      </c>
      <c r="Y86" s="8">
        <v>308066.02500000002</v>
      </c>
      <c r="Z86" s="8">
        <v>332822.16899999999</v>
      </c>
      <c r="AA86" s="8">
        <v>343287.99300000002</v>
      </c>
      <c r="AB86" s="8">
        <v>343651.40600000002</v>
      </c>
      <c r="AC86" s="8">
        <v>366804.81099999999</v>
      </c>
      <c r="AD86" s="14">
        <v>377975.42200000002</v>
      </c>
      <c r="AE86" s="14">
        <v>370804.05</v>
      </c>
      <c r="AF86" s="14">
        <v>376304.42099999997</v>
      </c>
      <c r="AG86" s="14">
        <v>381116.32400000002</v>
      </c>
      <c r="AH86" s="14">
        <v>381345.85399999999</v>
      </c>
      <c r="AI86" s="14">
        <v>376806.68599999999</v>
      </c>
      <c r="AJ86" s="16">
        <v>359237.39899999998</v>
      </c>
      <c r="AK86" s="16">
        <v>367424.97700000001</v>
      </c>
    </row>
    <row r="87" spans="1:37" ht="13" x14ac:dyDescent="0.25">
      <c r="A87" s="6" t="s">
        <v>191</v>
      </c>
      <c r="B87" s="6" t="s">
        <v>49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8</v>
      </c>
      <c r="P87" s="10">
        <v>15</v>
      </c>
      <c r="Q87" s="10">
        <v>12</v>
      </c>
      <c r="R87" s="10">
        <v>126</v>
      </c>
      <c r="S87" s="10">
        <v>214</v>
      </c>
      <c r="T87" s="10">
        <v>708</v>
      </c>
      <c r="U87" s="10">
        <v>150</v>
      </c>
      <c r="V87" s="10">
        <v>757</v>
      </c>
      <c r="W87" s="10">
        <v>2121</v>
      </c>
      <c r="X87" s="10">
        <v>5654</v>
      </c>
      <c r="Y87" s="10">
        <v>9565</v>
      </c>
      <c r="Z87" s="10">
        <v>12854</v>
      </c>
      <c r="AA87" s="10">
        <v>14087.7</v>
      </c>
      <c r="AB87" s="10">
        <v>15245.33</v>
      </c>
      <c r="AC87" s="10">
        <v>17087.38</v>
      </c>
      <c r="AD87" s="13">
        <v>17662.792000000001</v>
      </c>
      <c r="AE87" s="13">
        <v>16821.014999999999</v>
      </c>
      <c r="AF87" s="13">
        <v>16208.891</v>
      </c>
      <c r="AG87" s="13">
        <v>15002.789000000001</v>
      </c>
      <c r="AH87" s="13">
        <v>18994.273000000001</v>
      </c>
      <c r="AI87" s="13">
        <v>18586.596000000001</v>
      </c>
      <c r="AJ87" s="16">
        <v>19704.16</v>
      </c>
      <c r="AK87" s="16">
        <v>22743.312999999998</v>
      </c>
    </row>
    <row r="88" spans="1:37" ht="13" x14ac:dyDescent="0.25">
      <c r="A88" s="6" t="s">
        <v>191</v>
      </c>
      <c r="B88" s="6" t="s">
        <v>50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1</v>
      </c>
      <c r="Q88" s="7">
        <v>0</v>
      </c>
      <c r="R88" s="7">
        <v>0</v>
      </c>
      <c r="S88" s="7">
        <v>4</v>
      </c>
      <c r="T88" s="7">
        <v>1</v>
      </c>
      <c r="U88" s="7">
        <v>0</v>
      </c>
      <c r="V88" s="7">
        <v>1</v>
      </c>
      <c r="W88" s="7">
        <v>52</v>
      </c>
      <c r="X88" s="7">
        <v>1195</v>
      </c>
      <c r="Y88" s="7">
        <v>1224</v>
      </c>
      <c r="Z88" s="7">
        <v>1378</v>
      </c>
      <c r="AA88" s="7">
        <v>1534</v>
      </c>
      <c r="AB88" s="7">
        <v>1563.3240000000001</v>
      </c>
      <c r="AC88" s="7">
        <v>1910.777</v>
      </c>
      <c r="AD88" s="14">
        <v>2392.5140000000001</v>
      </c>
      <c r="AE88" s="14">
        <v>1983.847</v>
      </c>
      <c r="AF88" s="14">
        <v>2232.5300000000002</v>
      </c>
      <c r="AG88" s="14">
        <v>1765.9069999999999</v>
      </c>
      <c r="AH88" s="14">
        <v>1129.269</v>
      </c>
      <c r="AI88" s="14">
        <v>912.26900000000001</v>
      </c>
      <c r="AJ88" s="16">
        <v>902.06299999999999</v>
      </c>
      <c r="AK88" s="16">
        <v>902.06299999999999</v>
      </c>
    </row>
    <row r="89" spans="1:37" ht="13" x14ac:dyDescent="0.25">
      <c r="A89" s="6" t="s">
        <v>191</v>
      </c>
      <c r="B89" s="6" t="s">
        <v>51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4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-6</v>
      </c>
      <c r="V89" s="10">
        <v>10</v>
      </c>
      <c r="W89" s="10">
        <v>-19</v>
      </c>
      <c r="X89" s="10">
        <v>-91</v>
      </c>
      <c r="Y89" s="10">
        <v>-120</v>
      </c>
      <c r="Z89" s="10">
        <v>-115</v>
      </c>
      <c r="AA89" s="10">
        <v>163</v>
      </c>
      <c r="AB89" s="10">
        <v>25</v>
      </c>
      <c r="AC89" s="10">
        <v>52</v>
      </c>
      <c r="AD89" s="13">
        <v>22.356000000000002</v>
      </c>
      <c r="AE89" s="13">
        <v>-0.99199999999999999</v>
      </c>
      <c r="AF89" s="13">
        <v>-50.395000000000003</v>
      </c>
      <c r="AG89" s="13">
        <v>-83.397999999999996</v>
      </c>
      <c r="AH89" s="13">
        <v>94.403000000000006</v>
      </c>
      <c r="AI89" s="13">
        <v>-185.59700000000001</v>
      </c>
      <c r="AJ89" s="16">
        <v>114.18</v>
      </c>
      <c r="AK89" s="16">
        <v>-23.178999999999998</v>
      </c>
    </row>
    <row r="90" spans="1:37" ht="13" x14ac:dyDescent="0.25">
      <c r="A90" s="6" t="s">
        <v>191</v>
      </c>
      <c r="B90" s="6" t="s">
        <v>53</v>
      </c>
      <c r="C90" s="7">
        <v>82943</v>
      </c>
      <c r="D90" s="7">
        <v>86539</v>
      </c>
      <c r="E90" s="7">
        <v>88579</v>
      </c>
      <c r="F90" s="7">
        <v>92161</v>
      </c>
      <c r="G90" s="7">
        <v>93633</v>
      </c>
      <c r="H90" s="7">
        <v>105464</v>
      </c>
      <c r="I90" s="7">
        <v>114913</v>
      </c>
      <c r="J90" s="7">
        <v>121922</v>
      </c>
      <c r="K90" s="7">
        <v>127544</v>
      </c>
      <c r="L90" s="7">
        <v>140296</v>
      </c>
      <c r="M90" s="8">
        <v>146932.94200000001</v>
      </c>
      <c r="N90" s="8">
        <v>155384.23800000001</v>
      </c>
      <c r="O90" s="8">
        <v>158168.932</v>
      </c>
      <c r="P90" s="8">
        <v>200485.06099999999</v>
      </c>
      <c r="Q90" s="8">
        <v>216333.889</v>
      </c>
      <c r="R90" s="8">
        <v>248344.63800000001</v>
      </c>
      <c r="S90" s="8">
        <v>272830.212</v>
      </c>
      <c r="T90" s="8">
        <v>284619.49200000003</v>
      </c>
      <c r="U90" s="8">
        <v>283598.99300000002</v>
      </c>
      <c r="V90" s="8">
        <v>290727.18099999998</v>
      </c>
      <c r="W90" s="7">
        <v>300351.39</v>
      </c>
      <c r="X90" s="8">
        <v>307256.92800000001</v>
      </c>
      <c r="Y90" s="8">
        <v>316287.02500000002</v>
      </c>
      <c r="Z90" s="8">
        <v>344183.16899999999</v>
      </c>
      <c r="AA90" s="8">
        <v>356004.69300000003</v>
      </c>
      <c r="AB90" s="8">
        <v>357358.41200000001</v>
      </c>
      <c r="AC90" s="8">
        <v>382033.41399999999</v>
      </c>
      <c r="AD90" s="14">
        <v>393268.05599999998</v>
      </c>
      <c r="AE90" s="14">
        <v>385640.22600000002</v>
      </c>
      <c r="AF90" s="14">
        <v>390230.38699999999</v>
      </c>
      <c r="AG90" s="14">
        <v>394269.80800000002</v>
      </c>
      <c r="AH90" s="14">
        <v>399305.261</v>
      </c>
      <c r="AI90" s="14">
        <v>394295.41600000003</v>
      </c>
      <c r="AJ90" s="16">
        <v>378153.67599999998</v>
      </c>
      <c r="AK90" s="16">
        <v>389243.04800000001</v>
      </c>
    </row>
    <row r="91" spans="1:37" ht="11.5" customHeight="1" x14ac:dyDescent="0.25"/>
    <row r="92" spans="1:37" ht="13" x14ac:dyDescent="0.25">
      <c r="A92" s="3" t="s">
        <v>69</v>
      </c>
    </row>
    <row r="93" spans="1:37" ht="13" x14ac:dyDescent="0.25">
      <c r="A93" s="3" t="s">
        <v>45</v>
      </c>
      <c r="B93" s="2" t="s">
        <v>70</v>
      </c>
    </row>
  </sheetData>
  <mergeCells count="1">
    <mergeCell ref="A49:B49"/>
  </mergeCells>
  <phoneticPr fontId="4" type="noConversion"/>
  <hyperlinks>
    <hyperlink ref="A1" r:id="rId1" display="https://ec.europa.eu/eurostat/databrowser/view/NRG_CB_RW__custom_6658754/default/table?lang=en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B1:M77"/>
  <sheetViews>
    <sheetView topLeftCell="A47" zoomScaleNormal="100" workbookViewId="0">
      <selection activeCell="B49" sqref="B49:I60"/>
    </sheetView>
  </sheetViews>
  <sheetFormatPr defaultColWidth="9.1796875" defaultRowHeight="12.5" x14ac:dyDescent="0.35"/>
  <cols>
    <col min="1" max="1" width="6.81640625" style="22" bestFit="1" customWidth="1"/>
    <col min="2" max="2" width="9" style="22" customWidth="1"/>
    <col min="3" max="3" width="29.1796875" style="22" customWidth="1"/>
    <col min="4" max="8" width="10.7265625" style="22" customWidth="1"/>
    <col min="9" max="9" width="10.7265625" style="40" customWidth="1"/>
    <col min="10" max="16384" width="9.1796875" style="22"/>
  </cols>
  <sheetData>
    <row r="1" spans="2:13" ht="15.5" x14ac:dyDescent="0.35">
      <c r="B1" s="1" t="s">
        <v>242</v>
      </c>
    </row>
    <row r="2" spans="2:13" ht="26" x14ac:dyDescent="0.35">
      <c r="B2" s="118"/>
      <c r="C2" s="118"/>
      <c r="D2" s="21">
        <v>2019</v>
      </c>
      <c r="E2" s="21">
        <v>2020</v>
      </c>
      <c r="F2" s="21">
        <v>2021</v>
      </c>
      <c r="G2" s="21">
        <v>2022</v>
      </c>
      <c r="H2" s="21">
        <v>2023</v>
      </c>
      <c r="I2" s="123" t="s">
        <v>303</v>
      </c>
      <c r="K2" s="23" t="s">
        <v>304</v>
      </c>
      <c r="L2" s="24" t="s">
        <v>305</v>
      </c>
    </row>
    <row r="3" spans="2:13" ht="13" x14ac:dyDescent="0.35">
      <c r="B3" s="25" t="s">
        <v>72</v>
      </c>
      <c r="C3" s="26" t="s">
        <v>47</v>
      </c>
      <c r="D3" s="27">
        <f>'DATA-GAS'!AF50</f>
        <v>2423437.6680000001</v>
      </c>
      <c r="E3" s="27">
        <f>'DATA-GAS'!AG50</f>
        <v>1914793.959</v>
      </c>
      <c r="F3" s="27">
        <f>'DATA-GAS'!AH50</f>
        <v>1761550.284</v>
      </c>
      <c r="G3" s="27">
        <f>'DATA-GAS'!AI50</f>
        <v>1620697.497</v>
      </c>
      <c r="H3" s="27">
        <f>'DATA-GAS'!AJ50</f>
        <v>1361966.077</v>
      </c>
      <c r="I3" s="124">
        <f>'DATA-GAS'!AK50</f>
        <v>1293679.9310000001</v>
      </c>
      <c r="K3" s="28">
        <f>I3/H3-1</f>
        <v>-5.0137919844827294E-2</v>
      </c>
      <c r="L3" s="29">
        <f>I3/AVERAGE(D3:F3)-1</f>
        <v>-0.36374122064902792</v>
      </c>
    </row>
    <row r="4" spans="2:13" ht="13" x14ac:dyDescent="0.35">
      <c r="B4" s="30" t="s">
        <v>72</v>
      </c>
      <c r="C4" s="31" t="s">
        <v>48</v>
      </c>
      <c r="D4" s="32">
        <f>'DATA-GAS'!AF51</f>
        <v>25399.144</v>
      </c>
      <c r="E4" s="32">
        <f>'DATA-GAS'!AG51</f>
        <v>38526.519999999997</v>
      </c>
      <c r="F4" s="32">
        <f>'DATA-GAS'!AH51</f>
        <v>94350.95</v>
      </c>
      <c r="G4" s="32">
        <f>'DATA-GAS'!AI51</f>
        <v>113138.928</v>
      </c>
      <c r="H4" s="32">
        <f>'DATA-GAS'!AJ51</f>
        <v>132387.20499999999</v>
      </c>
      <c r="I4" s="125">
        <f>'DATA-GAS'!AK51</f>
        <v>148226.978</v>
      </c>
      <c r="K4" s="28">
        <f t="shared" ref="K4:K7" si="0">I4/H4-1</f>
        <v>0.11964731032730858</v>
      </c>
      <c r="L4" s="29">
        <f t="shared" ref="L4:L7" si="1">I4/AVERAGE(D4:F4)-1</f>
        <v>1.8095176082045827</v>
      </c>
    </row>
    <row r="5" spans="2:13" ht="13" hidden="1" x14ac:dyDescent="0.35">
      <c r="B5" s="30" t="s">
        <v>72</v>
      </c>
      <c r="C5" s="31" t="s">
        <v>49</v>
      </c>
      <c r="D5" s="32">
        <f>'DATA-GAS'!AF52</f>
        <v>15517168.032</v>
      </c>
      <c r="E5" s="32">
        <f>'DATA-GAS'!AG52</f>
        <v>13933710.827</v>
      </c>
      <c r="F5" s="32">
        <f>'DATA-GAS'!AH52</f>
        <v>14441689.071</v>
      </c>
      <c r="G5" s="32">
        <f>'DATA-GAS'!AI52</f>
        <v>15607786.471999999</v>
      </c>
      <c r="H5" s="32">
        <f>'DATA-GAS'!AJ52</f>
        <v>13916863.707</v>
      </c>
      <c r="I5" s="125">
        <f>'DATA-GAS'!AK52</f>
        <v>12940406.771</v>
      </c>
      <c r="K5" s="28">
        <f t="shared" si="0"/>
        <v>-7.0163576834402441E-2</v>
      </c>
      <c r="L5" s="29">
        <f t="shared" si="1"/>
        <v>-0.1155400072533419</v>
      </c>
    </row>
    <row r="6" spans="2:13" ht="13" hidden="1" x14ac:dyDescent="0.35">
      <c r="B6" s="30" t="s">
        <v>72</v>
      </c>
      <c r="C6" s="31" t="s">
        <v>50</v>
      </c>
      <c r="D6" s="32">
        <f>'DATA-GAS'!AF53</f>
        <v>1539094.081</v>
      </c>
      <c r="E6" s="32">
        <f>'DATA-GAS'!AG53</f>
        <v>1228476.98</v>
      </c>
      <c r="F6" s="32">
        <f>'DATA-GAS'!AH53</f>
        <v>1241603.7479999999</v>
      </c>
      <c r="G6" s="32">
        <f>'DATA-GAS'!AI53</f>
        <v>2247612.9559999998</v>
      </c>
      <c r="H6" s="32">
        <f>'DATA-GAS'!AJ53</f>
        <v>2491951.719</v>
      </c>
      <c r="I6" s="125">
        <f>'DATA-GAS'!AK53</f>
        <v>2092109.7</v>
      </c>
      <c r="K6" s="28">
        <f t="shared" si="0"/>
        <v>-0.16045335708207598</v>
      </c>
      <c r="L6" s="29">
        <f t="shared" si="1"/>
        <v>0.56549150361580058</v>
      </c>
    </row>
    <row r="7" spans="2:13" ht="13" x14ac:dyDescent="0.35">
      <c r="B7" s="30" t="s">
        <v>72</v>
      </c>
      <c r="C7" s="33" t="s">
        <v>83</v>
      </c>
      <c r="D7" s="34">
        <f>D5-D6</f>
        <v>13978073.950999999</v>
      </c>
      <c r="E7" s="34">
        <f t="shared" ref="E7" si="2">E5-E6</f>
        <v>12705233.846999999</v>
      </c>
      <c r="F7" s="34">
        <f t="shared" ref="F7" si="3">F5-F6</f>
        <v>13200085.323000001</v>
      </c>
      <c r="G7" s="34">
        <f t="shared" ref="G7" si="4">G5-G6</f>
        <v>13360173.515999999</v>
      </c>
      <c r="H7" s="34">
        <f t="shared" ref="H7" si="5">H5-H6</f>
        <v>11424911.988</v>
      </c>
      <c r="I7" s="125">
        <f t="shared" ref="I7" si="6">I5-I6</f>
        <v>10848297.071</v>
      </c>
      <c r="K7" s="28">
        <f t="shared" si="0"/>
        <v>-5.0469965773534131E-2</v>
      </c>
      <c r="L7" s="29">
        <f t="shared" si="1"/>
        <v>-0.18399893624236352</v>
      </c>
    </row>
    <row r="8" spans="2:13" ht="13" x14ac:dyDescent="0.35">
      <c r="B8" s="35" t="s">
        <v>72</v>
      </c>
      <c r="C8" s="33" t="s">
        <v>51</v>
      </c>
      <c r="D8" s="34">
        <f>'DATA-GAS'!AF54</f>
        <v>-814437.17099999997</v>
      </c>
      <c r="E8" s="34">
        <f>'DATA-GAS'!AG54</f>
        <v>578510.92200000002</v>
      </c>
      <c r="F8" s="34">
        <f>'DATA-GAS'!AH54</f>
        <v>818154.35600000003</v>
      </c>
      <c r="G8" s="34">
        <f>'DATA-GAS'!AI54</f>
        <v>-1293949.6370000001</v>
      </c>
      <c r="H8" s="34">
        <f>'DATA-GAS'!AJ54</f>
        <v>-91658.455000000002</v>
      </c>
      <c r="I8" s="125">
        <f>'DATA-GAS'!AK54</f>
        <v>583653.61100000003</v>
      </c>
      <c r="K8" s="28"/>
      <c r="L8" s="29"/>
    </row>
    <row r="9" spans="2:13" ht="13" x14ac:dyDescent="0.35">
      <c r="B9" s="35" t="s">
        <v>72</v>
      </c>
      <c r="C9" s="33" t="s">
        <v>82</v>
      </c>
      <c r="D9" s="34">
        <f>'DATA-GAS'!AF55</f>
        <v>6673.8130000000001</v>
      </c>
      <c r="E9" s="34">
        <f>'DATA-GAS'!AG55</f>
        <v>8410.0560000000005</v>
      </c>
      <c r="F9" s="34">
        <f>'DATA-GAS'!AH55</f>
        <v>12304.79</v>
      </c>
      <c r="G9" s="34">
        <f>'DATA-GAS'!AI55</f>
        <v>7177.0789999999997</v>
      </c>
      <c r="H9" s="34">
        <f>'DATA-GAS'!AJ55</f>
        <v>20214.957999999999</v>
      </c>
      <c r="I9" s="125">
        <f>'DATA-GAS'!AK55</f>
        <v>37536.279000000002</v>
      </c>
      <c r="K9" s="28">
        <f t="shared" ref="K9:K10" si="7">I9/H9-1</f>
        <v>0.85685664051342592</v>
      </c>
      <c r="L9" s="29">
        <f t="shared" ref="L9:L10" si="8">I9/AVERAGE(D9:F9)-1</f>
        <v>3.1115133457245943</v>
      </c>
    </row>
    <row r="10" spans="2:13" ht="13" x14ac:dyDescent="0.35">
      <c r="B10" s="36" t="s">
        <v>72</v>
      </c>
      <c r="C10" s="37" t="s">
        <v>73</v>
      </c>
      <c r="D10" s="38">
        <f>'DATA-GAS'!AF56</f>
        <v>15605799.778999999</v>
      </c>
      <c r="E10" s="38">
        <f>'DATA-GAS'!AG56</f>
        <v>15228655.192</v>
      </c>
      <c r="F10" s="38">
        <f>'DATA-GAS'!AH56</f>
        <v>15848814.130999999</v>
      </c>
      <c r="G10" s="38">
        <f>'DATA-GAS'!AI56</f>
        <v>13804329.377</v>
      </c>
      <c r="H10" s="38">
        <f>'DATA-GAS'!AJ56</f>
        <v>12795756.817</v>
      </c>
      <c r="I10" s="126">
        <f>'DATA-GAS'!AK56</f>
        <v>12836321.312000001</v>
      </c>
      <c r="K10" s="28">
        <f t="shared" si="7"/>
        <v>3.170152073076915E-3</v>
      </c>
      <c r="L10" s="29">
        <f t="shared" si="8"/>
        <v>-0.17510138692600241</v>
      </c>
      <c r="M10" s="28">
        <f>I10/G10-1</f>
        <v>-7.0123512599810867E-2</v>
      </c>
    </row>
    <row r="11" spans="2:13" ht="15.5" customHeight="1" x14ac:dyDescent="0.25">
      <c r="B11" s="39" t="s">
        <v>302</v>
      </c>
    </row>
    <row r="12" spans="2:13" ht="16" customHeight="1" x14ac:dyDescent="0.3">
      <c r="B12" s="41" t="s">
        <v>264</v>
      </c>
    </row>
    <row r="15" spans="2:13" ht="15.5" x14ac:dyDescent="0.35">
      <c r="B15" s="1" t="s">
        <v>243</v>
      </c>
    </row>
    <row r="16" spans="2:13" ht="26" x14ac:dyDescent="0.35">
      <c r="B16" s="118" t="s">
        <v>73</v>
      </c>
      <c r="C16" s="118"/>
      <c r="D16" s="21">
        <v>2019</v>
      </c>
      <c r="E16" s="21">
        <v>2020</v>
      </c>
      <c r="F16" s="21">
        <v>2021</v>
      </c>
      <c r="G16" s="21">
        <v>2022</v>
      </c>
      <c r="H16" s="21">
        <v>2023</v>
      </c>
      <c r="I16" s="123" t="s">
        <v>303</v>
      </c>
      <c r="K16" s="23" t="s">
        <v>304</v>
      </c>
      <c r="L16" s="24" t="s">
        <v>305</v>
      </c>
    </row>
    <row r="17" spans="2:13" ht="13" x14ac:dyDescent="0.35">
      <c r="B17" s="25" t="s">
        <v>71</v>
      </c>
      <c r="C17" s="26" t="s">
        <v>55</v>
      </c>
      <c r="D17" s="27">
        <f>'DATA-COAL'!AF35</f>
        <v>3236.1060000000002</v>
      </c>
      <c r="E17" s="27">
        <f>'DATA-COAL'!AG35</f>
        <v>2464.3440000000001</v>
      </c>
      <c r="F17" s="27">
        <f>'DATA-COAL'!AH35</f>
        <v>2846.34</v>
      </c>
      <c r="G17" s="27">
        <f>'DATA-COAL'!AI35</f>
        <v>2306.19</v>
      </c>
      <c r="H17" s="27">
        <f>'DATA-COAL'!AJ35</f>
        <v>1247.789</v>
      </c>
      <c r="I17" s="124">
        <f>'DATA-COAL'!AK35</f>
        <v>1029.5450000000001</v>
      </c>
      <c r="K17" s="28">
        <f>I17/H17-1</f>
        <v>-0.17490457120554825</v>
      </c>
      <c r="L17" s="29">
        <f>I17/AVERAGE(D17:F17)-1</f>
        <v>-0.63862046452527799</v>
      </c>
      <c r="M17" s="49">
        <f>I17-H17</f>
        <v>-218.24399999999991</v>
      </c>
    </row>
    <row r="18" spans="2:13" ht="13" x14ac:dyDescent="0.35">
      <c r="B18" s="30" t="s">
        <v>71</v>
      </c>
      <c r="C18" s="31" t="s">
        <v>56</v>
      </c>
      <c r="D18" s="32">
        <f>'DATA-COAL'!AF42</f>
        <v>48334.864999999998</v>
      </c>
      <c r="E18" s="32">
        <f>'DATA-COAL'!AG42</f>
        <v>42830.241999999998</v>
      </c>
      <c r="F18" s="32">
        <f>'DATA-COAL'!AH42</f>
        <v>43872.608</v>
      </c>
      <c r="G18" s="32">
        <f>'DATA-COAL'!AI42</f>
        <v>43223.938000000002</v>
      </c>
      <c r="H18" s="32">
        <f>'DATA-COAL'!AJ42</f>
        <v>40759.252</v>
      </c>
      <c r="I18" s="125">
        <f>'DATA-COAL'!AK42</f>
        <v>38886.436000000002</v>
      </c>
      <c r="K18" s="28">
        <f t="shared" ref="K18:K33" si="9">I18/H18-1</f>
        <v>-4.5948242622313007E-2</v>
      </c>
      <c r="L18" s="29">
        <f t="shared" ref="L18:L33" si="10">I18/AVERAGE(D18:F18)-1</f>
        <v>-0.13609832630832053</v>
      </c>
      <c r="M18" s="49">
        <f t="shared" ref="M18:M33" si="11">I18-H18</f>
        <v>-1872.8159999999989</v>
      </c>
    </row>
    <row r="19" spans="2:13" ht="13" x14ac:dyDescent="0.35">
      <c r="B19" s="30" t="s">
        <v>71</v>
      </c>
      <c r="C19" s="31" t="s">
        <v>57</v>
      </c>
      <c r="D19" s="32">
        <f>'DATA-COAL'!AF49</f>
        <v>127271.02499999999</v>
      </c>
      <c r="E19" s="32">
        <f>'DATA-COAL'!AG49</f>
        <v>99583.24</v>
      </c>
      <c r="F19" s="32">
        <f>'DATA-COAL'!AH49</f>
        <v>119495.075</v>
      </c>
      <c r="G19" s="32">
        <f>'DATA-COAL'!AI49</f>
        <v>118120.027</v>
      </c>
      <c r="H19" s="32">
        <f>'DATA-COAL'!AJ49</f>
        <v>86726.122000000003</v>
      </c>
      <c r="I19" s="125">
        <f>'DATA-COAL'!AK49</f>
        <v>71007.870999999999</v>
      </c>
      <c r="K19" s="28">
        <f t="shared" si="9"/>
        <v>-0.18124009972450983</v>
      </c>
      <c r="L19" s="29">
        <f t="shared" si="10"/>
        <v>-0.38494580933805167</v>
      </c>
      <c r="M19" s="49">
        <f t="shared" si="11"/>
        <v>-15718.251000000004</v>
      </c>
    </row>
    <row r="20" spans="2:13" ht="13" x14ac:dyDescent="0.35">
      <c r="B20" s="30" t="s">
        <v>71</v>
      </c>
      <c r="C20" s="31" t="s">
        <v>59</v>
      </c>
      <c r="D20" s="32">
        <f>'DATA-COAL'!AF63</f>
        <v>2038.6489999999999</v>
      </c>
      <c r="E20" s="32">
        <f>'DATA-COAL'!AG63</f>
        <v>1224.0530000000001</v>
      </c>
      <c r="F20" s="32">
        <f>'DATA-COAL'!AH63</f>
        <v>1133.8869999999999</v>
      </c>
      <c r="G20" s="32">
        <f>'DATA-COAL'!AI63</f>
        <v>1039.02</v>
      </c>
      <c r="H20" s="32">
        <f>'DATA-COAL'!AJ63</f>
        <v>743.36900000000003</v>
      </c>
      <c r="I20" s="125">
        <f>'DATA-COAL'!AK63</f>
        <v>673.21799999999996</v>
      </c>
      <c r="K20" s="28">
        <f t="shared" si="9"/>
        <v>-9.4369014580914845E-2</v>
      </c>
      <c r="L20" s="29">
        <f t="shared" si="10"/>
        <v>-0.54063161237040802</v>
      </c>
      <c r="M20" s="49">
        <f t="shared" si="11"/>
        <v>-70.151000000000067</v>
      </c>
    </row>
    <row r="21" spans="2:13" ht="13" x14ac:dyDescent="0.35">
      <c r="B21" s="30" t="s">
        <v>71</v>
      </c>
      <c r="C21" s="31" t="s">
        <v>60</v>
      </c>
      <c r="D21" s="32">
        <f>'DATA-COAL'!AF70</f>
        <v>306436.80499999999</v>
      </c>
      <c r="E21" s="32">
        <f>'DATA-COAL'!AG70</f>
        <v>246590.58</v>
      </c>
      <c r="F21" s="32">
        <f>'DATA-COAL'!AH70</f>
        <v>277583.49300000002</v>
      </c>
      <c r="G21" s="32">
        <f>'DATA-COAL'!AI70</f>
        <v>292775.212</v>
      </c>
      <c r="H21" s="32">
        <f>'DATA-COAL'!AJ70</f>
        <v>220676.54</v>
      </c>
      <c r="I21" s="125">
        <f>'DATA-COAL'!AK70</f>
        <v>198628.883</v>
      </c>
      <c r="K21" s="28">
        <f t="shared" si="9"/>
        <v>-9.9909383208564018E-2</v>
      </c>
      <c r="L21" s="29">
        <f t="shared" si="10"/>
        <v>-0.28259228866010588</v>
      </c>
      <c r="M21" s="49">
        <f t="shared" si="11"/>
        <v>-22047.657000000007</v>
      </c>
    </row>
    <row r="22" spans="2:13" ht="13" x14ac:dyDescent="0.35">
      <c r="B22" s="30" t="s">
        <v>71</v>
      </c>
      <c r="C22" s="31" t="s">
        <v>61</v>
      </c>
      <c r="D22" s="32">
        <f>'DATA-COAL'!AF77</f>
        <v>32872.097000000002</v>
      </c>
      <c r="E22" s="32">
        <f>'DATA-COAL'!AG77</f>
        <v>28101.352999999999</v>
      </c>
      <c r="F22" s="32">
        <f>'DATA-COAL'!AH77</f>
        <v>32983.071000000004</v>
      </c>
      <c r="G22" s="32">
        <f>'DATA-COAL'!AI77</f>
        <v>31298.304</v>
      </c>
      <c r="H22" s="32">
        <f>'DATA-COAL'!AJ77</f>
        <v>28076.266</v>
      </c>
      <c r="I22" s="125">
        <f>'DATA-COAL'!AK77</f>
        <v>28456.324000000001</v>
      </c>
      <c r="K22" s="28">
        <f t="shared" si="9"/>
        <v>1.3536629122975263E-2</v>
      </c>
      <c r="L22" s="29">
        <f t="shared" si="10"/>
        <v>-9.1399180265518853E-2</v>
      </c>
      <c r="M22" s="49">
        <f t="shared" si="11"/>
        <v>380.0580000000009</v>
      </c>
    </row>
    <row r="23" spans="2:13" ht="13" hidden="1" x14ac:dyDescent="0.35">
      <c r="B23" s="30" t="s">
        <v>71</v>
      </c>
      <c r="C23" s="31" t="s">
        <v>62</v>
      </c>
      <c r="D23" s="32">
        <f>'DATA-COAL'!AE84</f>
        <v>0</v>
      </c>
      <c r="E23" s="32">
        <f>'DATA-COAL'!AF84</f>
        <v>0</v>
      </c>
      <c r="F23" s="32">
        <f>'DATA-COAL'!AG84</f>
        <v>0</v>
      </c>
      <c r="G23" s="32">
        <f>'DATA-COAL'!AH84</f>
        <v>0</v>
      </c>
      <c r="H23" s="32">
        <f>'DATA-COAL'!AI84</f>
        <v>0</v>
      </c>
      <c r="I23" s="125">
        <f>'DATA-COAL'!AJ84</f>
        <v>0</v>
      </c>
      <c r="K23" s="28" t="e">
        <f t="shared" si="9"/>
        <v>#DIV/0!</v>
      </c>
      <c r="L23" s="29" t="e">
        <f t="shared" si="10"/>
        <v>#DIV/0!</v>
      </c>
      <c r="M23" s="49">
        <f t="shared" si="11"/>
        <v>0</v>
      </c>
    </row>
    <row r="24" spans="2:13" ht="13" x14ac:dyDescent="0.35">
      <c r="B24" s="30" t="s">
        <v>71</v>
      </c>
      <c r="C24" s="31" t="s">
        <v>63</v>
      </c>
      <c r="D24" s="32">
        <f>'DATA-COAL'!AF91</f>
        <v>102.187</v>
      </c>
      <c r="E24" s="32">
        <f>'DATA-COAL'!AG91</f>
        <v>81.009</v>
      </c>
      <c r="F24" s="32">
        <f>'DATA-COAL'!AH91</f>
        <v>87.256</v>
      </c>
      <c r="G24" s="32">
        <f>'DATA-COAL'!AI91</f>
        <v>119.95</v>
      </c>
      <c r="H24" s="32">
        <f>'DATA-COAL'!AJ91</f>
        <v>64.549000000000007</v>
      </c>
      <c r="I24" s="125">
        <f>'DATA-COAL'!AK91</f>
        <v>63.896000000000001</v>
      </c>
      <c r="K24" s="28">
        <f t="shared" si="9"/>
        <v>-1.0116345721854825E-2</v>
      </c>
      <c r="L24" s="29">
        <f t="shared" si="10"/>
        <v>-0.2912309762915416</v>
      </c>
      <c r="M24" s="49">
        <f t="shared" si="11"/>
        <v>-0.6530000000000058</v>
      </c>
    </row>
    <row r="25" spans="2:13" ht="13" x14ac:dyDescent="0.35">
      <c r="B25" s="35" t="s">
        <v>71</v>
      </c>
      <c r="C25" s="33" t="s">
        <v>64</v>
      </c>
      <c r="D25" s="34">
        <f>'DATA-COAL'!AF98</f>
        <v>6047.567</v>
      </c>
      <c r="E25" s="34">
        <f>'DATA-COAL'!AG98</f>
        <v>5502.4219999999996</v>
      </c>
      <c r="F25" s="34">
        <f>'DATA-COAL'!AH98</f>
        <v>5954.3850000000002</v>
      </c>
      <c r="G25" s="34">
        <f>'DATA-COAL'!AI98</f>
        <v>5383.2060000000001</v>
      </c>
      <c r="H25" s="34">
        <f>'DATA-COAL'!AJ98</f>
        <v>4287.0910000000003</v>
      </c>
      <c r="I25" s="125">
        <f>'DATA-COAL'!AK98</f>
        <v>3953.6460000000002</v>
      </c>
      <c r="K25" s="28">
        <f t="shared" si="9"/>
        <v>-7.77788481746714E-2</v>
      </c>
      <c r="L25" s="29">
        <f t="shared" si="10"/>
        <v>-0.32240147519699935</v>
      </c>
      <c r="M25" s="49">
        <f t="shared" si="11"/>
        <v>-333.44500000000016</v>
      </c>
    </row>
    <row r="26" spans="2:13" ht="13" x14ac:dyDescent="0.35">
      <c r="B26" s="36" t="s">
        <v>71</v>
      </c>
      <c r="C26" s="37" t="s">
        <v>65</v>
      </c>
      <c r="D26" s="38">
        <f>'DATA-COAL'!AF105</f>
        <v>1066.9749999999999</v>
      </c>
      <c r="E26" s="38">
        <f>'DATA-COAL'!AG105</f>
        <v>898.78399999999999</v>
      </c>
      <c r="F26" s="38">
        <f>'DATA-COAL'!AH105</f>
        <v>824.06</v>
      </c>
      <c r="G26" s="38">
        <f>'DATA-COAL'!AI105</f>
        <v>791.20399999999995</v>
      </c>
      <c r="H26" s="38">
        <f>'DATA-COAL'!AJ105</f>
        <v>758.99800000000005</v>
      </c>
      <c r="I26" s="126">
        <f>'DATA-COAL'!AK105</f>
        <v>679.36699999999996</v>
      </c>
      <c r="K26" s="28">
        <f t="shared" si="9"/>
        <v>-0.10491595498275363</v>
      </c>
      <c r="L26" s="29">
        <f t="shared" si="10"/>
        <v>-0.26945045538796608</v>
      </c>
      <c r="M26" s="49">
        <f t="shared" si="11"/>
        <v>-79.631000000000085</v>
      </c>
    </row>
    <row r="27" spans="2:13" ht="13" x14ac:dyDescent="0.35">
      <c r="B27" s="42" t="s">
        <v>72</v>
      </c>
      <c r="C27" s="43" t="s">
        <v>77</v>
      </c>
      <c r="D27" s="32">
        <f>'DATA-GAS'!AF28</f>
        <v>266599.745</v>
      </c>
      <c r="E27" s="32">
        <f>'DATA-GAS'!AG28</f>
        <v>242473.139</v>
      </c>
      <c r="F27" s="32">
        <f>'DATA-GAS'!AH28</f>
        <v>263411.61200000002</v>
      </c>
      <c r="G27" s="32">
        <f>'DATA-GAS'!AI28</f>
        <v>247161.212</v>
      </c>
      <c r="H27" s="32">
        <f>'DATA-GAS'!AJ28</f>
        <v>242472.69500000001</v>
      </c>
      <c r="I27" s="124">
        <f>'DATA-GAS'!AK28</f>
        <v>216582.63800000001</v>
      </c>
      <c r="K27" s="28">
        <f t="shared" si="9"/>
        <v>-0.106775144310579</v>
      </c>
      <c r="L27" s="29">
        <f t="shared" si="10"/>
        <v>-0.15888549561258769</v>
      </c>
      <c r="M27" s="49">
        <f t="shared" si="11"/>
        <v>-25890.057000000001</v>
      </c>
    </row>
    <row r="28" spans="2:13" ht="13" x14ac:dyDescent="0.35">
      <c r="B28" s="30" t="s">
        <v>72</v>
      </c>
      <c r="C28" s="31" t="s">
        <v>78</v>
      </c>
      <c r="D28" s="32">
        <f>'DATA-GAS'!AF35</f>
        <v>15917.089</v>
      </c>
      <c r="E28" s="32">
        <f>'DATA-GAS'!AG35</f>
        <v>11968.83</v>
      </c>
      <c r="F28" s="32">
        <f>'DATA-GAS'!AH35</f>
        <v>2646.4560000000001</v>
      </c>
      <c r="G28" s="32">
        <f>'DATA-GAS'!AI35</f>
        <v>2638.0070000000001</v>
      </c>
      <c r="H28" s="32">
        <f>'DATA-GAS'!AJ35</f>
        <v>2580.2040000000002</v>
      </c>
      <c r="I28" s="125">
        <f>'DATA-GAS'!AK35</f>
        <v>0</v>
      </c>
      <c r="K28" s="28">
        <f t="shared" si="9"/>
        <v>-1</v>
      </c>
      <c r="L28" s="29">
        <f t="shared" si="10"/>
        <v>-1</v>
      </c>
      <c r="M28" s="49">
        <f t="shared" si="11"/>
        <v>-2580.2040000000002</v>
      </c>
    </row>
    <row r="29" spans="2:13" ht="13" x14ac:dyDescent="0.35">
      <c r="B29" s="35" t="s">
        <v>72</v>
      </c>
      <c r="C29" s="33" t="s">
        <v>79</v>
      </c>
      <c r="D29" s="34">
        <f>'DATA-GAS'!AF42</f>
        <v>451736.37199999997</v>
      </c>
      <c r="E29" s="34">
        <f>'DATA-GAS'!AG42</f>
        <v>376744.67700000003</v>
      </c>
      <c r="F29" s="34">
        <f>'DATA-GAS'!AH42</f>
        <v>442021.42099999997</v>
      </c>
      <c r="G29" s="34">
        <f>'DATA-GAS'!AI42</f>
        <v>400971.52299999999</v>
      </c>
      <c r="H29" s="34">
        <f>'DATA-GAS'!AJ42</f>
        <v>373347.18400000001</v>
      </c>
      <c r="I29" s="125">
        <f>'DATA-GAS'!AK42</f>
        <v>382849.98200000002</v>
      </c>
      <c r="K29" s="28">
        <f t="shared" si="9"/>
        <v>2.5452978908768298E-2</v>
      </c>
      <c r="L29" s="29">
        <f t="shared" si="10"/>
        <v>-9.5987632357770858E-2</v>
      </c>
      <c r="M29" s="49">
        <f t="shared" si="11"/>
        <v>9502.7980000000098</v>
      </c>
    </row>
    <row r="30" spans="2:13" ht="13" x14ac:dyDescent="0.35">
      <c r="B30" s="36" t="s">
        <v>72</v>
      </c>
      <c r="C30" s="37" t="s">
        <v>80</v>
      </c>
      <c r="D30" s="38">
        <f>'DATA-GAS'!AF49</f>
        <v>52316.86</v>
      </c>
      <c r="E30" s="38">
        <f>'DATA-GAS'!AG49</f>
        <v>45066.936000000002</v>
      </c>
      <c r="F30" s="38">
        <f>'DATA-GAS'!AH49</f>
        <v>45692.292000000001</v>
      </c>
      <c r="G30" s="38">
        <f>'DATA-GAS'!AI49</f>
        <v>44827.114000000001</v>
      </c>
      <c r="H30" s="38">
        <f>'DATA-GAS'!AJ49</f>
        <v>41851.815000000002</v>
      </c>
      <c r="I30" s="126">
        <f>'DATA-GAS'!AK49</f>
        <v>41374.589999999997</v>
      </c>
      <c r="K30" s="28">
        <f t="shared" si="9"/>
        <v>-1.1402731279396283E-2</v>
      </c>
      <c r="L30" s="29">
        <f t="shared" si="10"/>
        <v>-0.1324632107637721</v>
      </c>
      <c r="M30" s="49">
        <f t="shared" si="11"/>
        <v>-477.22500000000582</v>
      </c>
    </row>
    <row r="31" spans="2:13" ht="13" x14ac:dyDescent="0.35">
      <c r="B31" s="44" t="s">
        <v>71</v>
      </c>
      <c r="C31" s="45" t="s">
        <v>66</v>
      </c>
      <c r="D31" s="34">
        <f>'DATA-COAL'!AF112</f>
        <v>8925.9040000000005</v>
      </c>
      <c r="E31" s="34">
        <f>'DATA-COAL'!AG112</f>
        <v>6424.5789999999997</v>
      </c>
      <c r="F31" s="34">
        <f>'DATA-COAL'!AH112</f>
        <v>5135.0739999999996</v>
      </c>
      <c r="G31" s="34">
        <f>'DATA-COAL'!AI112</f>
        <v>4833.1940000000004</v>
      </c>
      <c r="H31" s="34">
        <f>'DATA-COAL'!AJ112</f>
        <v>3530.2979999999998</v>
      </c>
      <c r="I31" s="124">
        <f>'DATA-COAL'!AK112</f>
        <v>2590.558</v>
      </c>
      <c r="K31" s="28">
        <f t="shared" si="9"/>
        <v>-0.26619282564814639</v>
      </c>
      <c r="L31" s="29">
        <f t="shared" si="10"/>
        <v>-0.62062666882818962</v>
      </c>
      <c r="M31" s="49">
        <f t="shared" si="11"/>
        <v>-939.73999999999978</v>
      </c>
    </row>
    <row r="32" spans="2:13" ht="13" x14ac:dyDescent="0.35">
      <c r="B32" s="36" t="s">
        <v>71</v>
      </c>
      <c r="C32" s="37" t="s">
        <v>67</v>
      </c>
      <c r="D32" s="38">
        <f>'DATA-COAL'!AF119</f>
        <v>189.13499999999999</v>
      </c>
      <c r="E32" s="38">
        <f>'DATA-COAL'!AG119</f>
        <v>188.47900000000001</v>
      </c>
      <c r="F32" s="38">
        <f>'DATA-COAL'!AH119</f>
        <v>171.39</v>
      </c>
      <c r="G32" s="38">
        <f>'DATA-COAL'!AI119</f>
        <v>138.226</v>
      </c>
      <c r="H32" s="38">
        <f>'DATA-COAL'!AJ119</f>
        <v>68.61</v>
      </c>
      <c r="I32" s="126">
        <f>'DATA-COAL'!AK119</f>
        <v>26.925999999999998</v>
      </c>
      <c r="K32" s="28">
        <f t="shared" si="9"/>
        <v>-0.60754991983675843</v>
      </c>
      <c r="L32" s="29">
        <f t="shared" si="10"/>
        <v>-0.85286446000393445</v>
      </c>
      <c r="M32" s="49">
        <f t="shared" si="11"/>
        <v>-41.683999999999997</v>
      </c>
    </row>
    <row r="33" spans="2:13" ht="13" x14ac:dyDescent="0.35">
      <c r="B33" s="46" t="s">
        <v>71</v>
      </c>
      <c r="C33" s="47" t="s">
        <v>68</v>
      </c>
      <c r="D33" s="38">
        <f>'DATA-COAL'!AF126</f>
        <v>15285.272000000001</v>
      </c>
      <c r="E33" s="38">
        <f>'DATA-COAL'!AG126</f>
        <v>12072.18</v>
      </c>
      <c r="F33" s="38">
        <f>'DATA-COAL'!AH126</f>
        <v>13186.23</v>
      </c>
      <c r="G33" s="38">
        <f>'DATA-COAL'!AI126</f>
        <v>15059.668</v>
      </c>
      <c r="H33" s="38">
        <f>'DATA-COAL'!AJ126</f>
        <v>12031.133</v>
      </c>
      <c r="I33" s="127">
        <f>'DATA-COAL'!AK126</f>
        <v>10862.142</v>
      </c>
      <c r="K33" s="28">
        <f t="shared" si="9"/>
        <v>-9.716383319841948E-2</v>
      </c>
      <c r="L33" s="29">
        <f t="shared" si="10"/>
        <v>-0.19626377298440723</v>
      </c>
      <c r="M33" s="49">
        <f t="shared" si="11"/>
        <v>-1168.991</v>
      </c>
    </row>
    <row r="34" spans="2:13" ht="15.5" customHeight="1" x14ac:dyDescent="0.25">
      <c r="B34" s="39" t="s">
        <v>302</v>
      </c>
    </row>
    <row r="35" spans="2:13" ht="16" customHeight="1" x14ac:dyDescent="0.3">
      <c r="B35" s="41" t="s">
        <v>265</v>
      </c>
    </row>
    <row r="37" spans="2:13" ht="15.5" x14ac:dyDescent="0.35">
      <c r="B37" s="1" t="s">
        <v>244</v>
      </c>
    </row>
    <row r="38" spans="2:13" ht="26" x14ac:dyDescent="0.35">
      <c r="B38" s="118"/>
      <c r="C38" s="118"/>
      <c r="D38" s="21">
        <v>2019</v>
      </c>
      <c r="E38" s="21">
        <v>2020</v>
      </c>
      <c r="F38" s="21">
        <v>2021</v>
      </c>
      <c r="G38" s="21">
        <v>2022</v>
      </c>
      <c r="H38" s="21">
        <v>2023</v>
      </c>
      <c r="I38" s="128" t="s">
        <v>303</v>
      </c>
      <c r="K38" s="23" t="s">
        <v>304</v>
      </c>
      <c r="L38" s="24" t="s">
        <v>305</v>
      </c>
    </row>
    <row r="39" spans="2:13" ht="13" x14ac:dyDescent="0.35">
      <c r="B39" s="25" t="s">
        <v>71</v>
      </c>
      <c r="C39" s="26" t="s">
        <v>47</v>
      </c>
      <c r="D39" s="27">
        <f>'DATA-COAL'!AF22</f>
        <v>65055.502999999997</v>
      </c>
      <c r="E39" s="27">
        <f>'DATA-COAL'!AG22</f>
        <v>56531.347000000002</v>
      </c>
      <c r="F39" s="27">
        <f>'DATA-COAL'!AH22</f>
        <v>57185.258999999998</v>
      </c>
      <c r="G39" s="27">
        <f>'DATA-COAL'!AI22</f>
        <v>54512.514999999999</v>
      </c>
      <c r="H39" s="27">
        <f>'DATA-COAL'!AJ22</f>
        <v>49721.788999999997</v>
      </c>
      <c r="I39" s="129">
        <f>'DATA-COAL'!AK22</f>
        <v>45295.836000000003</v>
      </c>
      <c r="K39" s="28">
        <f>I39/H39-1</f>
        <v>-8.901435545692038E-2</v>
      </c>
      <c r="L39" s="29">
        <f>I39/AVERAGE(D39:F39)-1</f>
        <v>-0.23988418126230193</v>
      </c>
    </row>
    <row r="40" spans="2:13" ht="13" x14ac:dyDescent="0.35">
      <c r="B40" s="30" t="s">
        <v>71</v>
      </c>
      <c r="C40" s="31" t="s">
        <v>48</v>
      </c>
      <c r="D40" s="32">
        <f>'DATA-COAL'!AF23</f>
        <v>578.12800000000004</v>
      </c>
      <c r="E40" s="32">
        <f>'DATA-COAL'!AG23</f>
        <v>393.11200000000002</v>
      </c>
      <c r="F40" s="32">
        <f>'DATA-COAL'!AH23</f>
        <v>370.64400000000001</v>
      </c>
      <c r="G40" s="32">
        <f>'DATA-COAL'!AI23</f>
        <v>378.529</v>
      </c>
      <c r="H40" s="32">
        <f>'DATA-COAL'!AJ23</f>
        <v>380.392</v>
      </c>
      <c r="I40" s="125">
        <f>'DATA-COAL'!AK23</f>
        <v>408.21300000000002</v>
      </c>
      <c r="K40" s="28">
        <f t="shared" ref="K40:K45" si="12">I40/H40-1</f>
        <v>7.3137710572251935E-2</v>
      </c>
      <c r="L40" s="29">
        <f t="shared" ref="L40:L45" si="13">I40/AVERAGE(D40:F40)-1</f>
        <v>-8.737342423041039E-2</v>
      </c>
    </row>
    <row r="41" spans="2:13" ht="13" hidden="1" x14ac:dyDescent="0.35">
      <c r="B41" s="30" t="s">
        <v>71</v>
      </c>
      <c r="C41" s="31" t="s">
        <v>49</v>
      </c>
      <c r="D41" s="32">
        <f>'DATA-COAL'!AF24</f>
        <v>125433.083</v>
      </c>
      <c r="E41" s="32">
        <f>'DATA-COAL'!AG24</f>
        <v>87708.301000000007</v>
      </c>
      <c r="F41" s="32">
        <f>'DATA-COAL'!AH24</f>
        <v>104243.95699999999</v>
      </c>
      <c r="G41" s="32">
        <f>'DATA-COAL'!AI24</f>
        <v>126737.10799999999</v>
      </c>
      <c r="H41" s="32">
        <f>'DATA-COAL'!AJ24</f>
        <v>92422.554000000004</v>
      </c>
      <c r="I41" s="125">
        <f>'DATA-COAL'!AK24</f>
        <v>67644.111000000004</v>
      </c>
      <c r="K41" s="28">
        <f t="shared" ref="K41:K43" si="14">I41/H41-1</f>
        <v>-0.26809952687522565</v>
      </c>
      <c r="L41" s="29">
        <f t="shared" ref="L41:L43" si="15">I41/AVERAGE(D41:F41)-1</f>
        <v>-0.36061214307941214</v>
      </c>
    </row>
    <row r="42" spans="2:13" ht="13" hidden="1" x14ac:dyDescent="0.35">
      <c r="B42" s="30" t="s">
        <v>71</v>
      </c>
      <c r="C42" s="31" t="s">
        <v>50</v>
      </c>
      <c r="D42" s="32">
        <f>'DATA-COAL'!AF25</f>
        <v>7929.9650000000001</v>
      </c>
      <c r="E42" s="32">
        <f>'DATA-COAL'!AG25</f>
        <v>8304.125</v>
      </c>
      <c r="F42" s="32">
        <f>'DATA-COAL'!AH25</f>
        <v>10187.777</v>
      </c>
      <c r="G42" s="32">
        <f>'DATA-COAL'!AI25</f>
        <v>8772.6139999999996</v>
      </c>
      <c r="H42" s="32">
        <f>'DATA-COAL'!AJ25</f>
        <v>10291.620000000001</v>
      </c>
      <c r="I42" s="125">
        <f>'DATA-COAL'!AK25</f>
        <v>7885.8950000000004</v>
      </c>
      <c r="K42" s="28">
        <f t="shared" si="14"/>
        <v>-0.23375571581539156</v>
      </c>
      <c r="L42" s="29">
        <f t="shared" si="15"/>
        <v>-0.10461720967712074</v>
      </c>
    </row>
    <row r="43" spans="2:13" ht="13" x14ac:dyDescent="0.35">
      <c r="B43" s="35" t="s">
        <v>71</v>
      </c>
      <c r="C43" s="33" t="s">
        <v>83</v>
      </c>
      <c r="D43" s="34">
        <f>D41-D42</f>
        <v>117503.118</v>
      </c>
      <c r="E43" s="34">
        <f t="shared" ref="E43:I43" si="16">E41-E42</f>
        <v>79404.176000000007</v>
      </c>
      <c r="F43" s="34">
        <f t="shared" si="16"/>
        <v>94056.18</v>
      </c>
      <c r="G43" s="34">
        <f t="shared" si="16"/>
        <v>117964.49399999999</v>
      </c>
      <c r="H43" s="34">
        <f t="shared" si="16"/>
        <v>82130.934000000008</v>
      </c>
      <c r="I43" s="125">
        <f t="shared" si="16"/>
        <v>59758.216</v>
      </c>
      <c r="K43" s="28">
        <f t="shared" si="14"/>
        <v>-0.27240306313818374</v>
      </c>
      <c r="L43" s="29">
        <f t="shared" si="15"/>
        <v>-0.38385858013229524</v>
      </c>
    </row>
    <row r="44" spans="2:13" ht="13" x14ac:dyDescent="0.35">
      <c r="B44" s="35" t="s">
        <v>71</v>
      </c>
      <c r="C44" s="33" t="s">
        <v>51</v>
      </c>
      <c r="D44" s="34">
        <f>'DATA-COAL'!AF26</f>
        <v>-4294.7529999999997</v>
      </c>
      <c r="E44" s="34">
        <f>'DATA-COAL'!AG26</f>
        <v>8549.1910000000007</v>
      </c>
      <c r="F44" s="34">
        <f>'DATA-COAL'!AH26</f>
        <v>14601.94</v>
      </c>
      <c r="G44" s="34">
        <f>'DATA-COAL'!AI26</f>
        <v>-9205.3829999999998</v>
      </c>
      <c r="H44" s="34">
        <f>'DATA-COAL'!AJ26</f>
        <v>-3499.9520000000002</v>
      </c>
      <c r="I44" s="125">
        <f>'DATA-COAL'!AK26</f>
        <v>5461.5879999999997</v>
      </c>
      <c r="K44" s="28"/>
      <c r="L44" s="29"/>
    </row>
    <row r="45" spans="2:13" ht="13" x14ac:dyDescent="0.35">
      <c r="B45" s="36" t="s">
        <v>71</v>
      </c>
      <c r="C45" s="37" t="s">
        <v>73</v>
      </c>
      <c r="D45" s="38">
        <f>'DATA-COAL'!AF28</f>
        <v>178841.99600000001</v>
      </c>
      <c r="E45" s="38">
        <f>'DATA-COAL'!AG28</f>
        <v>144877.826</v>
      </c>
      <c r="F45" s="38">
        <f>'DATA-COAL'!AH28</f>
        <v>166214.02299999999</v>
      </c>
      <c r="G45" s="38">
        <f>'DATA-COAL'!AI28</f>
        <v>163650.155</v>
      </c>
      <c r="H45" s="38">
        <f>'DATA-COAL'!AJ28</f>
        <v>128733.163</v>
      </c>
      <c r="I45" s="126">
        <f>'DATA-COAL'!AK28</f>
        <v>110923.852</v>
      </c>
      <c r="K45" s="28">
        <f t="shared" si="12"/>
        <v>-0.13834283711338624</v>
      </c>
      <c r="L45" s="29">
        <f t="shared" si="13"/>
        <v>-0.3207826742404376</v>
      </c>
    </row>
    <row r="46" spans="2:13" ht="15.5" customHeight="1" x14ac:dyDescent="0.25">
      <c r="B46" s="39" t="s">
        <v>302</v>
      </c>
    </row>
    <row r="47" spans="2:13" ht="16" customHeight="1" x14ac:dyDescent="0.3">
      <c r="B47" s="41" t="s">
        <v>266</v>
      </c>
    </row>
    <row r="48" spans="2:13" x14ac:dyDescent="0.25">
      <c r="C48" s="48"/>
    </row>
    <row r="49" spans="2:12" ht="15.5" x14ac:dyDescent="0.35">
      <c r="B49" s="1" t="s">
        <v>245</v>
      </c>
    </row>
    <row r="50" spans="2:12" ht="26" x14ac:dyDescent="0.35">
      <c r="B50" s="118"/>
      <c r="C50" s="118"/>
      <c r="D50" s="21">
        <v>2019</v>
      </c>
      <c r="E50" s="21">
        <v>2020</v>
      </c>
      <c r="F50" s="21">
        <v>2021</v>
      </c>
      <c r="G50" s="21">
        <v>2022</v>
      </c>
      <c r="H50" s="21">
        <v>2023</v>
      </c>
      <c r="I50" s="128" t="s">
        <v>303</v>
      </c>
      <c r="K50" s="23" t="s">
        <v>304</v>
      </c>
      <c r="L50" s="24" t="s">
        <v>305</v>
      </c>
    </row>
    <row r="51" spans="2:12" ht="13" x14ac:dyDescent="0.35">
      <c r="B51" s="25" t="s">
        <v>71</v>
      </c>
      <c r="C51" s="26" t="s">
        <v>47</v>
      </c>
      <c r="D51" s="27">
        <f>'DATA-COAL'!AF50</f>
        <v>307597.027</v>
      </c>
      <c r="E51" s="27">
        <f>'DATA-COAL'!AG50</f>
        <v>244456.87899999999</v>
      </c>
      <c r="F51" s="27">
        <f>'DATA-COAL'!AH50</f>
        <v>274986.12900000002</v>
      </c>
      <c r="G51" s="27">
        <f>'DATA-COAL'!AI50</f>
        <v>294932.114</v>
      </c>
      <c r="H51" s="27">
        <f>'DATA-COAL'!AJ50</f>
        <v>224909.41399999999</v>
      </c>
      <c r="I51" s="129">
        <f>'DATA-COAL'!AK50</f>
        <v>196556.32800000001</v>
      </c>
      <c r="K51" s="28">
        <f>I51/H51-1</f>
        <v>-0.12606446967133167</v>
      </c>
      <c r="L51" s="29">
        <f>I51/AVERAGE(D51:F51)-1</f>
        <v>-0.28701276958134192</v>
      </c>
    </row>
    <row r="52" spans="2:12" ht="13" x14ac:dyDescent="0.35">
      <c r="B52" s="30" t="s">
        <v>71</v>
      </c>
      <c r="C52" s="31" t="s">
        <v>48</v>
      </c>
      <c r="D52" s="32">
        <f>'DATA-COAL'!AF51</f>
        <v>454.86799999999999</v>
      </c>
      <c r="E52" s="32">
        <f>'DATA-COAL'!AG51</f>
        <v>388.322</v>
      </c>
      <c r="F52" s="32">
        <f>'DATA-COAL'!AH51</f>
        <v>192.80500000000001</v>
      </c>
      <c r="G52" s="32">
        <f>'DATA-COAL'!AI51</f>
        <v>124.182</v>
      </c>
      <c r="H52" s="32">
        <f>'DATA-COAL'!AJ51</f>
        <v>187.30799999999999</v>
      </c>
      <c r="I52" s="125">
        <f>'DATA-COAL'!AK51</f>
        <v>144.959</v>
      </c>
      <c r="K52" s="28">
        <f t="shared" ref="K52:K54" si="17">I52/H52-1</f>
        <v>-0.2260928524142054</v>
      </c>
      <c r="L52" s="29">
        <f t="shared" ref="L52:L54" si="18">I52/AVERAGE(D52:F52)-1</f>
        <v>-0.58023253007977837</v>
      </c>
    </row>
    <row r="53" spans="2:12" ht="13" hidden="1" x14ac:dyDescent="0.35">
      <c r="B53" s="30" t="s">
        <v>71</v>
      </c>
      <c r="C53" s="31" t="s">
        <v>49</v>
      </c>
      <c r="D53" s="32">
        <f>'DATA-COAL'!AF52</f>
        <v>2460.5680000000002</v>
      </c>
      <c r="E53" s="32">
        <f>'DATA-COAL'!AG52</f>
        <v>1785.9459999999999</v>
      </c>
      <c r="F53" s="32">
        <f>'DATA-COAL'!AH52</f>
        <v>1383.72</v>
      </c>
      <c r="G53" s="32">
        <f>'DATA-COAL'!AI52</f>
        <v>2037.335</v>
      </c>
      <c r="H53" s="32">
        <f>'DATA-COAL'!AJ52</f>
        <v>1574.8140000000001</v>
      </c>
      <c r="I53" s="125">
        <f>'DATA-COAL'!AK52</f>
        <v>777.21900000000005</v>
      </c>
      <c r="K53" s="28">
        <f t="shared" si="17"/>
        <v>-0.50646933542627892</v>
      </c>
      <c r="L53" s="29">
        <f t="shared" si="18"/>
        <v>-0.58586854471767957</v>
      </c>
    </row>
    <row r="54" spans="2:12" ht="13" hidden="1" x14ac:dyDescent="0.35">
      <c r="B54" s="30" t="s">
        <v>71</v>
      </c>
      <c r="C54" s="31" t="s">
        <v>50</v>
      </c>
      <c r="D54" s="32">
        <f>'DATA-COAL'!AF53</f>
        <v>888.24599999999998</v>
      </c>
      <c r="E54" s="32">
        <f>'DATA-COAL'!AG53</f>
        <v>579.24800000000005</v>
      </c>
      <c r="F54" s="32">
        <f>'DATA-COAL'!AH53</f>
        <v>357.58699999999999</v>
      </c>
      <c r="G54" s="32">
        <f>'DATA-COAL'!AI53</f>
        <v>2037.7080000000001</v>
      </c>
      <c r="H54" s="32">
        <f>'DATA-COAL'!AJ53</f>
        <v>2719.9679999999998</v>
      </c>
      <c r="I54" s="125">
        <f>'DATA-COAL'!AK53</f>
        <v>1154.0989999999999</v>
      </c>
      <c r="K54" s="28">
        <f t="shared" si="17"/>
        <v>-0.57569390522241437</v>
      </c>
      <c r="L54" s="29">
        <f t="shared" si="18"/>
        <v>0.89706484260150599</v>
      </c>
    </row>
    <row r="55" spans="2:12" ht="13" x14ac:dyDescent="0.35">
      <c r="B55" s="35" t="s">
        <v>71</v>
      </c>
      <c r="C55" s="33" t="s">
        <v>83</v>
      </c>
      <c r="D55" s="34">
        <f>D53-D54</f>
        <v>1572.3220000000001</v>
      </c>
      <c r="E55" s="34">
        <f t="shared" ref="E55" si="19">E53-E54</f>
        <v>1206.6979999999999</v>
      </c>
      <c r="F55" s="34">
        <f t="shared" ref="F55" si="20">F53-F54</f>
        <v>1026.133</v>
      </c>
      <c r="G55" s="34">
        <f t="shared" ref="G55" si="21">G53-G54</f>
        <v>-0.37300000000004729</v>
      </c>
      <c r="H55" s="34">
        <f t="shared" ref="H55" si="22">H53-H54</f>
        <v>-1145.1539999999998</v>
      </c>
      <c r="I55" s="125">
        <f t="shared" ref="I55" si="23">I53-I54</f>
        <v>-376.87999999999988</v>
      </c>
      <c r="K55" s="28">
        <f t="shared" ref="K55" si="24">I55/H55-1</f>
        <v>-0.67089142595668361</v>
      </c>
      <c r="L55" s="29">
        <f t="shared" ref="L55" si="25">I55/AVERAGE(D55:F55)-1</f>
        <v>-1.2971339128807697</v>
      </c>
    </row>
    <row r="56" spans="2:12" ht="13" x14ac:dyDescent="0.35">
      <c r="B56" s="35" t="s">
        <v>71</v>
      </c>
      <c r="C56" s="33" t="s">
        <v>51</v>
      </c>
      <c r="D56" s="34">
        <f>'DATA-COAL'!AF54</f>
        <v>-1148.7629999999999</v>
      </c>
      <c r="E56" s="34">
        <f>'DATA-COAL'!AG54</f>
        <v>1762.7339999999999</v>
      </c>
      <c r="F56" s="34">
        <f>'DATA-COAL'!AH54</f>
        <v>2512.3130000000001</v>
      </c>
      <c r="G56" s="34">
        <f>'DATA-COAL'!AI54</f>
        <v>-1241.691</v>
      </c>
      <c r="H56" s="34">
        <f>'DATA-COAL'!AJ54</f>
        <v>-2531.6590000000001</v>
      </c>
      <c r="I56" s="125">
        <f>'DATA-COAL'!AK54</f>
        <v>2977.694</v>
      </c>
      <c r="K56" s="28"/>
      <c r="L56" s="29"/>
    </row>
    <row r="57" spans="2:12" ht="13" x14ac:dyDescent="0.35">
      <c r="B57" s="36" t="s">
        <v>71</v>
      </c>
      <c r="C57" s="37" t="s">
        <v>73</v>
      </c>
      <c r="D57" s="38">
        <f>'DATA-COAL'!AF56</f>
        <v>308475.45400000003</v>
      </c>
      <c r="E57" s="38">
        <f>'DATA-COAL'!AG56</f>
        <v>247814.633</v>
      </c>
      <c r="F57" s="38">
        <f>'DATA-COAL'!AH56</f>
        <v>278717.38</v>
      </c>
      <c r="G57" s="38">
        <f>'DATA-COAL'!AI56</f>
        <v>293814.23200000002</v>
      </c>
      <c r="H57" s="38">
        <f>'DATA-COAL'!AJ56</f>
        <v>221419.90900000001</v>
      </c>
      <c r="I57" s="126">
        <f>'DATA-COAL'!AK56</f>
        <v>199302.101</v>
      </c>
      <c r="K57" s="28">
        <f t="shared" ref="K57" si="26">I57/H57-1</f>
        <v>-9.9890782630571939E-2</v>
      </c>
      <c r="L57" s="29">
        <f t="shared" ref="L57" si="27">I57/AVERAGE(D57:F57)-1</f>
        <v>-0.28395095058473308</v>
      </c>
    </row>
    <row r="58" spans="2:12" ht="15.5" customHeight="1" x14ac:dyDescent="0.25">
      <c r="B58" s="39" t="s">
        <v>302</v>
      </c>
    </row>
    <row r="59" spans="2:12" ht="16" customHeight="1" x14ac:dyDescent="0.3">
      <c r="B59" s="41" t="s">
        <v>266</v>
      </c>
    </row>
    <row r="60" spans="2:12" x14ac:dyDescent="0.25">
      <c r="C60" s="48"/>
    </row>
    <row r="73" spans="3:3" x14ac:dyDescent="0.25">
      <c r="C73" s="48"/>
    </row>
    <row r="74" spans="3:3" x14ac:dyDescent="0.25">
      <c r="C74" s="48"/>
    </row>
    <row r="75" spans="3:3" x14ac:dyDescent="0.25">
      <c r="C75" s="48"/>
    </row>
    <row r="76" spans="3:3" x14ac:dyDescent="0.25">
      <c r="C76" s="48"/>
    </row>
    <row r="77" spans="3:3" x14ac:dyDescent="0.25">
      <c r="C77" s="48"/>
    </row>
  </sheetData>
  <mergeCells count="4">
    <mergeCell ref="B16:C16"/>
    <mergeCell ref="B38:C38"/>
    <mergeCell ref="B50:C50"/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B1:N41"/>
  <sheetViews>
    <sheetView topLeftCell="A24" zoomScaleNormal="100" workbookViewId="0">
      <selection activeCell="L40" sqref="L40"/>
    </sheetView>
  </sheetViews>
  <sheetFormatPr defaultColWidth="9.1796875" defaultRowHeight="12.5" x14ac:dyDescent="0.35"/>
  <cols>
    <col min="1" max="1" width="6.81640625" style="22" bestFit="1" customWidth="1"/>
    <col min="2" max="2" width="15" style="22" customWidth="1"/>
    <col min="3" max="3" width="2" style="22" bestFit="1" customWidth="1"/>
    <col min="4" max="4" width="31.54296875" style="22" customWidth="1"/>
    <col min="5" max="9" width="10.7265625" style="22" customWidth="1"/>
    <col min="10" max="10" width="10.7265625" style="40" customWidth="1"/>
    <col min="11" max="16384" width="9.1796875" style="22"/>
  </cols>
  <sheetData>
    <row r="1" spans="2:13" x14ac:dyDescent="0.35">
      <c r="E1" s="49"/>
      <c r="F1" s="49"/>
      <c r="G1" s="49"/>
      <c r="H1" s="49"/>
      <c r="I1" s="49"/>
      <c r="J1" s="50"/>
    </row>
    <row r="2" spans="2:13" ht="15.5" x14ac:dyDescent="0.35">
      <c r="B2" s="1" t="s">
        <v>246</v>
      </c>
      <c r="C2" s="20"/>
    </row>
    <row r="3" spans="2:13" ht="26" x14ac:dyDescent="0.35">
      <c r="B3" s="51"/>
      <c r="C3" s="51"/>
      <c r="D3" s="21" t="s">
        <v>71</v>
      </c>
      <c r="E3" s="21">
        <v>2019</v>
      </c>
      <c r="F3" s="21">
        <v>2020</v>
      </c>
      <c r="G3" s="21">
        <v>2021</v>
      </c>
      <c r="H3" s="21">
        <v>2022</v>
      </c>
      <c r="I3" s="21">
        <v>2023</v>
      </c>
      <c r="J3" s="123" t="s">
        <v>303</v>
      </c>
      <c r="L3" s="23" t="s">
        <v>304</v>
      </c>
      <c r="M3" s="24" t="s">
        <v>305</v>
      </c>
    </row>
    <row r="4" spans="2:13" ht="13" x14ac:dyDescent="0.35">
      <c r="B4" s="120" t="s">
        <v>110</v>
      </c>
      <c r="C4" s="52" t="s">
        <v>111</v>
      </c>
      <c r="D4" s="26" t="s">
        <v>47</v>
      </c>
      <c r="E4" s="27">
        <f>'DATA-OIL'!AF57</f>
        <v>22755.252</v>
      </c>
      <c r="F4" s="27">
        <f>'DATA-OIL'!AG57</f>
        <v>21445.329000000002</v>
      </c>
      <c r="G4" s="27">
        <f>'DATA-OIL'!AH57</f>
        <v>20209.433000000001</v>
      </c>
      <c r="H4" s="27">
        <f>'DATA-OIL'!AI57</f>
        <v>18838.68</v>
      </c>
      <c r="I4" s="27">
        <f>'DATA-OIL'!AJ57</f>
        <v>19057.030999999999</v>
      </c>
      <c r="J4" s="130">
        <f>'DATA-OIL'!AK57</f>
        <v>17981.281999999999</v>
      </c>
      <c r="L4" s="28">
        <f>J4/I4-1</f>
        <v>-5.6448929531572878E-2</v>
      </c>
      <c r="M4" s="29">
        <f>J4/AVERAGE(E4:G4)-1</f>
        <v>-0.16249286950939046</v>
      </c>
    </row>
    <row r="5" spans="2:13" ht="13" x14ac:dyDescent="0.35">
      <c r="B5" s="121"/>
      <c r="C5" s="53" t="s">
        <v>111</v>
      </c>
      <c r="D5" s="31" t="s">
        <v>48</v>
      </c>
      <c r="E5" s="32">
        <f>'DATA-OIL'!AF58</f>
        <v>21244.419000000002</v>
      </c>
      <c r="F5" s="32">
        <f>'DATA-OIL'!AG58</f>
        <v>21906.514999999999</v>
      </c>
      <c r="G5" s="32">
        <f>'DATA-OIL'!AH58</f>
        <v>22594.929</v>
      </c>
      <c r="H5" s="32">
        <f>'DATA-OIL'!AI58</f>
        <v>22289.955000000002</v>
      </c>
      <c r="I5" s="32">
        <f>'DATA-OIL'!AJ58</f>
        <v>23028.462</v>
      </c>
      <c r="J5" s="131">
        <f>'DATA-OIL'!AK58</f>
        <v>21818.458999999999</v>
      </c>
      <c r="L5" s="28">
        <f t="shared" ref="L5:L23" si="0">J5/I5-1</f>
        <v>-5.2543804271427241E-2</v>
      </c>
      <c r="M5" s="29">
        <f t="shared" ref="M5:M23" si="1">J5/AVERAGE(E5:G5)-1</f>
        <v>-4.4183160239299468E-3</v>
      </c>
    </row>
    <row r="6" spans="2:13" ht="13" x14ac:dyDescent="0.35">
      <c r="B6" s="121"/>
      <c r="C6" s="53" t="s">
        <v>111</v>
      </c>
      <c r="D6" s="31" t="s">
        <v>102</v>
      </c>
      <c r="E6" s="32">
        <f>'DATA-OIL'!AF69</f>
        <v>14873.117</v>
      </c>
      <c r="F6" s="32">
        <f>'DATA-OIL'!AG69</f>
        <v>14846.662</v>
      </c>
      <c r="G6" s="32">
        <f>'DATA-OIL'!AH69</f>
        <v>14846.572</v>
      </c>
      <c r="H6" s="32">
        <f>'DATA-OIL'!AI69</f>
        <v>15841.971</v>
      </c>
      <c r="I6" s="32">
        <f>'DATA-OIL'!AJ69</f>
        <v>14374.904</v>
      </c>
      <c r="J6" s="131">
        <f>'DATA-OIL'!AK69</f>
        <v>11684.064</v>
      </c>
      <c r="L6" s="28">
        <f t="shared" si="0"/>
        <v>-0.18719011966966881</v>
      </c>
      <c r="M6" s="29">
        <f t="shared" si="1"/>
        <v>-0.21348301547057336</v>
      </c>
    </row>
    <row r="7" spans="2:13" ht="13" x14ac:dyDescent="0.35">
      <c r="B7" s="121"/>
      <c r="C7" s="53" t="s">
        <v>111</v>
      </c>
      <c r="D7" s="31" t="s">
        <v>105</v>
      </c>
      <c r="E7" s="32">
        <f>'DATA-OIL'!AF72</f>
        <v>27907.239000000001</v>
      </c>
      <c r="F7" s="32">
        <f>'DATA-OIL'!AG72</f>
        <v>25298.813999999998</v>
      </c>
      <c r="G7" s="32">
        <f>'DATA-OIL'!AH72</f>
        <v>30387.105</v>
      </c>
      <c r="H7" s="32">
        <f>'DATA-OIL'!AI72</f>
        <v>29369.911</v>
      </c>
      <c r="I7" s="32">
        <f>'DATA-OIL'!AJ72</f>
        <v>25568.986000000001</v>
      </c>
      <c r="J7" s="131">
        <f>'DATA-OIL'!AK72</f>
        <v>23703.848000000002</v>
      </c>
      <c r="L7" s="28">
        <f t="shared" si="0"/>
        <v>-7.2945325246765669E-2</v>
      </c>
      <c r="M7" s="29">
        <f t="shared" si="1"/>
        <v>-0.14931382302843488</v>
      </c>
    </row>
    <row r="8" spans="2:13" ht="13" x14ac:dyDescent="0.35">
      <c r="B8" s="121"/>
      <c r="C8" s="53" t="s">
        <v>111</v>
      </c>
      <c r="D8" s="31" t="s">
        <v>49</v>
      </c>
      <c r="E8" s="32">
        <f>'DATA-OIL'!AF60</f>
        <v>530342.64500000002</v>
      </c>
      <c r="F8" s="32">
        <f>'DATA-OIL'!AG60</f>
        <v>464311.19699999999</v>
      </c>
      <c r="G8" s="32">
        <f>'DATA-OIL'!AH60</f>
        <v>473684.70600000001</v>
      </c>
      <c r="H8" s="32">
        <f>'DATA-OIL'!AI60</f>
        <v>507206.42</v>
      </c>
      <c r="I8" s="32">
        <f>'DATA-OIL'!AJ60</f>
        <v>497079.53700000001</v>
      </c>
      <c r="J8" s="131">
        <f>'DATA-OIL'!AK60</f>
        <v>497379.88400000002</v>
      </c>
      <c r="L8" s="28">
        <f t="shared" si="0"/>
        <v>6.0422322313380405E-4</v>
      </c>
      <c r="M8" s="29">
        <f t="shared" si="1"/>
        <v>1.6209547881460562E-2</v>
      </c>
    </row>
    <row r="9" spans="2:13" ht="13" x14ac:dyDescent="0.35">
      <c r="B9" s="121"/>
      <c r="C9" s="53" t="s">
        <v>112</v>
      </c>
      <c r="D9" s="31" t="s">
        <v>50</v>
      </c>
      <c r="E9" s="32">
        <f>'DATA-OIL'!AF61</f>
        <v>13461.119000000001</v>
      </c>
      <c r="F9" s="32">
        <f>'DATA-OIL'!AG61</f>
        <v>13198.043</v>
      </c>
      <c r="G9" s="32">
        <f>'DATA-OIL'!AH61</f>
        <v>13996.324000000001</v>
      </c>
      <c r="H9" s="32">
        <f>'DATA-OIL'!AI61</f>
        <v>12292.311</v>
      </c>
      <c r="I9" s="32">
        <f>'DATA-OIL'!AJ61</f>
        <v>14406.378000000001</v>
      </c>
      <c r="J9" s="131">
        <f>'DATA-OIL'!AK61</f>
        <v>11275.448</v>
      </c>
      <c r="L9" s="28">
        <f t="shared" si="0"/>
        <v>-0.2173294356152532</v>
      </c>
      <c r="M9" s="29">
        <f t="shared" si="1"/>
        <v>-0.16797590367017146</v>
      </c>
    </row>
    <row r="10" spans="2:13" ht="13" x14ac:dyDescent="0.35">
      <c r="B10" s="121"/>
      <c r="C10" s="53" t="s">
        <v>112</v>
      </c>
      <c r="D10" s="31" t="s">
        <v>106</v>
      </c>
      <c r="E10" s="32">
        <f>'DATA-OIL'!AF73</f>
        <v>30581.103999999999</v>
      </c>
      <c r="F10" s="32">
        <f>'DATA-OIL'!AG73</f>
        <v>31672.749</v>
      </c>
      <c r="G10" s="32">
        <f>'DATA-OIL'!AH73</f>
        <v>33522.593000000001</v>
      </c>
      <c r="H10" s="32">
        <f>'DATA-OIL'!AI73</f>
        <v>33547.57</v>
      </c>
      <c r="I10" s="32">
        <f>'DATA-OIL'!AJ73</f>
        <v>34429.123</v>
      </c>
      <c r="J10" s="131">
        <f>'DATA-OIL'!AK73</f>
        <v>31687.011999999999</v>
      </c>
      <c r="L10" s="28">
        <f t="shared" si="0"/>
        <v>-7.9645101619347125E-2</v>
      </c>
      <c r="M10" s="29">
        <f t="shared" si="1"/>
        <v>-7.4695818218187826E-3</v>
      </c>
    </row>
    <row r="11" spans="2:13" ht="13" x14ac:dyDescent="0.35">
      <c r="B11" s="121"/>
      <c r="C11" s="53" t="s">
        <v>111</v>
      </c>
      <c r="D11" s="33" t="s">
        <v>51</v>
      </c>
      <c r="E11" s="34">
        <f>'DATA-OIL'!AF62</f>
        <v>-2918.0790000000002</v>
      </c>
      <c r="F11" s="34">
        <f>'DATA-OIL'!AG62</f>
        <v>-957.49800000000005</v>
      </c>
      <c r="G11" s="34">
        <f>'DATA-OIL'!AH62</f>
        <v>5709.9179999999997</v>
      </c>
      <c r="H11" s="34">
        <f>'DATA-OIL'!AI62</f>
        <v>-5698.125</v>
      </c>
      <c r="I11" s="34">
        <f>'DATA-OIL'!AJ62</f>
        <v>4042.5439999999999</v>
      </c>
      <c r="J11" s="125">
        <f>'DATA-OIL'!AK62</f>
        <v>49.743000000000002</v>
      </c>
      <c r="L11" s="28"/>
      <c r="M11" s="29"/>
    </row>
    <row r="12" spans="2:13" ht="13" x14ac:dyDescent="0.35">
      <c r="B12" s="122"/>
      <c r="C12" s="54" t="s">
        <v>113</v>
      </c>
      <c r="D12" s="55" t="s">
        <v>101</v>
      </c>
      <c r="E12" s="56">
        <f>'DATA-OIL'!AF67</f>
        <v>570162.37</v>
      </c>
      <c r="F12" s="56">
        <f>'DATA-OIL'!AG67</f>
        <v>501980.22700000001</v>
      </c>
      <c r="G12" s="56">
        <f>'DATA-OIL'!AH67</f>
        <v>519913.74599999998</v>
      </c>
      <c r="H12" s="56">
        <f>'DATA-OIL'!AI67</f>
        <v>542008.93099999998</v>
      </c>
      <c r="I12" s="56">
        <f>'DATA-OIL'!AJ67</f>
        <v>534315.96299999999</v>
      </c>
      <c r="J12" s="132">
        <f>'DATA-OIL'!AK67</f>
        <v>529654.81999999995</v>
      </c>
      <c r="L12" s="28">
        <f t="shared" si="0"/>
        <v>-8.7235705514566719E-3</v>
      </c>
      <c r="M12" s="29">
        <f t="shared" si="1"/>
        <v>-1.942068830412147E-3</v>
      </c>
    </row>
    <row r="13" spans="2:13" ht="13" x14ac:dyDescent="0.35">
      <c r="B13" s="120" t="s">
        <v>109</v>
      </c>
      <c r="C13" s="53" t="s">
        <v>111</v>
      </c>
      <c r="D13" s="43" t="s">
        <v>103</v>
      </c>
      <c r="E13" s="57">
        <f>'DATA-OIL'!AF87</f>
        <v>26903.861000000001</v>
      </c>
      <c r="F13" s="57">
        <f>'DATA-OIL'!AG87</f>
        <v>27610.794000000002</v>
      </c>
      <c r="G13" s="57">
        <f>'DATA-OIL'!AH87</f>
        <v>28494.155999999999</v>
      </c>
      <c r="H13" s="57">
        <f>'DATA-OIL'!AI87</f>
        <v>28755.125</v>
      </c>
      <c r="I13" s="57">
        <f>'DATA-OIL'!AJ87</f>
        <v>28104.972000000002</v>
      </c>
      <c r="J13" s="133">
        <f>'DATA-OIL'!AK87</f>
        <v>26933.296999999999</v>
      </c>
      <c r="L13" s="28">
        <f t="shared" si="0"/>
        <v>-4.1689242743241373E-2</v>
      </c>
      <c r="M13" s="29">
        <f t="shared" si="1"/>
        <v>-2.6610669077045346E-2</v>
      </c>
    </row>
    <row r="14" spans="2:13" ht="13" x14ac:dyDescent="0.35">
      <c r="B14" s="121"/>
      <c r="C14" s="53" t="s">
        <v>111</v>
      </c>
      <c r="D14" s="31" t="s">
        <v>107</v>
      </c>
      <c r="E14" s="32">
        <f>'DATA-OIL'!AF83</f>
        <v>563102.80299999996</v>
      </c>
      <c r="F14" s="32">
        <f>'DATA-OIL'!AG83</f>
        <v>496266.342</v>
      </c>
      <c r="G14" s="32">
        <f>'DATA-OIL'!AH83</f>
        <v>511992.152</v>
      </c>
      <c r="H14" s="32">
        <f>'DATA-OIL'!AI83</f>
        <v>534944.31200000003</v>
      </c>
      <c r="I14" s="32">
        <f>'DATA-OIL'!AJ83</f>
        <v>527970.13699999999</v>
      </c>
      <c r="J14" s="131">
        <f>'DATA-OIL'!AK83</f>
        <v>525197.103</v>
      </c>
      <c r="L14" s="28">
        <f t="shared" si="0"/>
        <v>-5.2522553941340977E-3</v>
      </c>
      <c r="M14" s="29">
        <f t="shared" si="1"/>
        <v>2.6919410628707396E-3</v>
      </c>
    </row>
    <row r="15" spans="2:13" ht="13" x14ac:dyDescent="0.35">
      <c r="B15" s="121"/>
      <c r="C15" s="53" t="s">
        <v>111</v>
      </c>
      <c r="D15" s="31" t="s">
        <v>99</v>
      </c>
      <c r="E15" s="32">
        <f>'DATA-OIL'!AF76</f>
        <v>1236.981</v>
      </c>
      <c r="F15" s="32">
        <f>'DATA-OIL'!AG76</f>
        <v>1186.1220000000001</v>
      </c>
      <c r="G15" s="32">
        <f>'DATA-OIL'!AH76</f>
        <v>1199.0519999999999</v>
      </c>
      <c r="H15" s="32">
        <f>'DATA-OIL'!AI76</f>
        <v>1255.7739999999999</v>
      </c>
      <c r="I15" s="32">
        <f>'DATA-OIL'!AJ76</f>
        <v>1359.1210000000001</v>
      </c>
      <c r="J15" s="131">
        <f>'DATA-OIL'!AK76</f>
        <v>1173.4739999999999</v>
      </c>
      <c r="L15" s="28">
        <f t="shared" si="0"/>
        <v>-0.13659343060698803</v>
      </c>
      <c r="M15" s="29">
        <f t="shared" si="1"/>
        <v>-2.8086318779842467E-2</v>
      </c>
    </row>
    <row r="16" spans="2:13" ht="13" x14ac:dyDescent="0.35">
      <c r="B16" s="121"/>
      <c r="C16" s="53" t="s">
        <v>112</v>
      </c>
      <c r="D16" s="31" t="s">
        <v>108</v>
      </c>
      <c r="E16" s="32">
        <f>'DATA-OIL'!AF85</f>
        <v>24504.812999999998</v>
      </c>
      <c r="F16" s="32">
        <f>'DATA-OIL'!AG85</f>
        <v>22401.628000000001</v>
      </c>
      <c r="G16" s="32">
        <f>'DATA-OIL'!AH85</f>
        <v>23694.744999999999</v>
      </c>
      <c r="H16" s="32">
        <f>'DATA-OIL'!AI85</f>
        <v>26666.002</v>
      </c>
      <c r="I16" s="32">
        <f>'DATA-OIL'!AJ85</f>
        <v>25748.598999999998</v>
      </c>
      <c r="J16" s="131">
        <f>'DATA-OIL'!AK85</f>
        <v>25977.274000000001</v>
      </c>
      <c r="L16" s="28">
        <f t="shared" si="0"/>
        <v>8.8810657232265555E-3</v>
      </c>
      <c r="M16" s="29">
        <f t="shared" si="1"/>
        <v>0.103831626851141</v>
      </c>
    </row>
    <row r="17" spans="2:14" ht="13" x14ac:dyDescent="0.35">
      <c r="B17" s="121"/>
      <c r="C17" s="53" t="s">
        <v>111</v>
      </c>
      <c r="D17" s="31" t="s">
        <v>49</v>
      </c>
      <c r="E17" s="32">
        <f>'DATA-OIL'!AF77</f>
        <v>316619.59000000003</v>
      </c>
      <c r="F17" s="32">
        <f>'DATA-OIL'!AG77</f>
        <v>280797.21399999998</v>
      </c>
      <c r="G17" s="32">
        <f>'DATA-OIL'!AH77</f>
        <v>297062.89</v>
      </c>
      <c r="H17" s="32">
        <f>'DATA-OIL'!AI77</f>
        <v>301680.68400000001</v>
      </c>
      <c r="I17" s="32">
        <f>'DATA-OIL'!AJ77</f>
        <v>288398.07699999999</v>
      </c>
      <c r="J17" s="131">
        <f>'DATA-OIL'!AK77</f>
        <v>293457.53200000001</v>
      </c>
      <c r="L17" s="28">
        <f t="shared" si="0"/>
        <v>1.7543303522096654E-2</v>
      </c>
      <c r="M17" s="29">
        <f t="shared" si="1"/>
        <v>-1.5771289269759459E-2</v>
      </c>
    </row>
    <row r="18" spans="2:14" ht="13" x14ac:dyDescent="0.35">
      <c r="B18" s="121"/>
      <c r="C18" s="53" t="s">
        <v>112</v>
      </c>
      <c r="D18" s="31" t="s">
        <v>50</v>
      </c>
      <c r="E18" s="32">
        <f>'DATA-OIL'!AF78</f>
        <v>312671.70600000001</v>
      </c>
      <c r="F18" s="32">
        <f>'DATA-OIL'!AG78</f>
        <v>278469.98599999998</v>
      </c>
      <c r="G18" s="32">
        <f>'DATA-OIL'!AH78</f>
        <v>304474.011</v>
      </c>
      <c r="H18" s="32">
        <f>'DATA-OIL'!AI78</f>
        <v>301431.63199999998</v>
      </c>
      <c r="I18" s="32">
        <f>'DATA-OIL'!AJ78</f>
        <v>299995.87099999998</v>
      </c>
      <c r="J18" s="131">
        <f>'DATA-OIL'!AK78</f>
        <v>303354.82400000002</v>
      </c>
      <c r="L18" s="28">
        <f t="shared" si="0"/>
        <v>1.1196664103420462E-2</v>
      </c>
      <c r="M18" s="29">
        <f t="shared" si="1"/>
        <v>1.6132777654078501E-2</v>
      </c>
    </row>
    <row r="19" spans="2:14" ht="13" x14ac:dyDescent="0.35">
      <c r="B19" s="121"/>
      <c r="C19" s="53" t="s">
        <v>112</v>
      </c>
      <c r="D19" s="31" t="s">
        <v>52</v>
      </c>
      <c r="E19" s="32">
        <f>'DATA-OIL'!AF80</f>
        <v>43977.336000000003</v>
      </c>
      <c r="F19" s="32">
        <f>'DATA-OIL'!AG80</f>
        <v>39520.144</v>
      </c>
      <c r="G19" s="32">
        <f>'DATA-OIL'!AH80</f>
        <v>41224.421000000002</v>
      </c>
      <c r="H19" s="32">
        <f>'DATA-OIL'!AI80</f>
        <v>42719.61</v>
      </c>
      <c r="I19" s="32">
        <f>'DATA-OIL'!AJ80</f>
        <v>39641.985999999997</v>
      </c>
      <c r="J19" s="131">
        <f>'DATA-OIL'!AK80</f>
        <v>40064.207000000002</v>
      </c>
      <c r="L19" s="28">
        <f t="shared" si="0"/>
        <v>1.0650853869934807E-2</v>
      </c>
      <c r="M19" s="29">
        <f t="shared" si="1"/>
        <v>-3.6315033395778684E-2</v>
      </c>
    </row>
    <row r="20" spans="2:14" ht="13" x14ac:dyDescent="0.35">
      <c r="B20" s="121"/>
      <c r="C20" s="53" t="s">
        <v>111</v>
      </c>
      <c r="D20" s="31" t="s">
        <v>104</v>
      </c>
      <c r="E20" s="32">
        <f>'DATA-OIL'!AF88</f>
        <v>1781.8910000000001</v>
      </c>
      <c r="F20" s="32">
        <f>'DATA-OIL'!AG88</f>
        <v>1703.002</v>
      </c>
      <c r="G20" s="32">
        <f>'DATA-OIL'!AH88</f>
        <v>2795.6550000000002</v>
      </c>
      <c r="H20" s="32">
        <f>'DATA-OIL'!AI88</f>
        <v>2333.2379999999998</v>
      </c>
      <c r="I20" s="32">
        <f>'DATA-OIL'!AJ88</f>
        <v>2606.1729999999998</v>
      </c>
      <c r="J20" s="131">
        <f>'DATA-OIL'!AK88</f>
        <v>2793.7289999999998</v>
      </c>
      <c r="L20" s="28">
        <f t="shared" si="0"/>
        <v>7.1966059045197817E-2</v>
      </c>
      <c r="M20" s="29">
        <f t="shared" si="1"/>
        <v>0.33446747003605415</v>
      </c>
    </row>
    <row r="21" spans="2:14" ht="13" x14ac:dyDescent="0.35">
      <c r="B21" s="121"/>
      <c r="C21" s="53" t="s">
        <v>112</v>
      </c>
      <c r="D21" s="31" t="s">
        <v>105</v>
      </c>
      <c r="E21" s="32">
        <f>-'DATA-OIL'!AF89</f>
        <v>27907.238000000001</v>
      </c>
      <c r="F21" s="32">
        <f>-'DATA-OIL'!AG89</f>
        <v>25298.814999999999</v>
      </c>
      <c r="G21" s="32">
        <f>-'DATA-OIL'!AH89</f>
        <v>30387.105</v>
      </c>
      <c r="H21" s="32">
        <f>-'DATA-OIL'!AI89</f>
        <v>29369.912</v>
      </c>
      <c r="I21" s="32">
        <f>-'DATA-OIL'!AJ89</f>
        <v>25568.986000000001</v>
      </c>
      <c r="J21" s="131">
        <f>-'DATA-OIL'!AK89</f>
        <v>-23460.507000000001</v>
      </c>
      <c r="L21" s="28">
        <f t="shared" si="0"/>
        <v>-1.9175376371984405</v>
      </c>
      <c r="M21" s="29">
        <f t="shared" si="1"/>
        <v>-1.8419531297047063</v>
      </c>
    </row>
    <row r="22" spans="2:14" ht="13" x14ac:dyDescent="0.35">
      <c r="B22" s="121"/>
      <c r="C22" s="53" t="s">
        <v>111</v>
      </c>
      <c r="D22" s="33" t="s">
        <v>51</v>
      </c>
      <c r="E22" s="34">
        <f>'DATA-OIL'!AF79</f>
        <v>-2911.7109999999998</v>
      </c>
      <c r="F22" s="34">
        <f>'DATA-OIL'!AG79</f>
        <v>-5969.7380000000003</v>
      </c>
      <c r="G22" s="34">
        <f>'DATA-OIL'!AH79</f>
        <v>13932.743</v>
      </c>
      <c r="H22" s="34">
        <f>'DATA-OIL'!AI79</f>
        <v>-3236.0210000000002</v>
      </c>
      <c r="I22" s="34">
        <f>'DATA-OIL'!AJ79</f>
        <v>2165.1480000000001</v>
      </c>
      <c r="J22" s="125">
        <f>'DATA-OIL'!AK79</f>
        <v>-2659.9589999999998</v>
      </c>
      <c r="L22" s="28"/>
      <c r="M22" s="29"/>
    </row>
    <row r="23" spans="2:14" ht="13" x14ac:dyDescent="0.35">
      <c r="B23" s="122"/>
      <c r="C23" s="54" t="s">
        <v>113</v>
      </c>
      <c r="D23" s="55" t="s">
        <v>90</v>
      </c>
      <c r="E23" s="56">
        <f>'DATA-OIL'!AF82</f>
        <v>497672.32199999999</v>
      </c>
      <c r="F23" s="56">
        <f>'DATA-OIL'!AG82</f>
        <v>435903.163</v>
      </c>
      <c r="G23" s="56">
        <f>'DATA-OIL'!AH82</f>
        <v>455696.36599999998</v>
      </c>
      <c r="H23" s="56">
        <f>'DATA-OIL'!AI82</f>
        <v>465545.95600000001</v>
      </c>
      <c r="I23" s="56">
        <f>'DATA-OIL'!AJ82</f>
        <v>459648.18599999999</v>
      </c>
      <c r="J23" s="132">
        <f>'DATA-OIL'!AK82</f>
        <v>454038.36599999998</v>
      </c>
      <c r="L23" s="28">
        <f t="shared" si="0"/>
        <v>-1.2204595103090465E-2</v>
      </c>
      <c r="M23" s="29">
        <f t="shared" si="1"/>
        <v>-1.9547472282298584E-2</v>
      </c>
    </row>
    <row r="24" spans="2:14" ht="15.5" customHeight="1" x14ac:dyDescent="0.25">
      <c r="B24" s="39" t="s">
        <v>302</v>
      </c>
      <c r="C24" s="39"/>
    </row>
    <row r="25" spans="2:14" ht="16" customHeight="1" x14ac:dyDescent="0.3">
      <c r="B25" s="41" t="s">
        <v>270</v>
      </c>
      <c r="C25" s="41"/>
    </row>
    <row r="27" spans="2:14" ht="15.5" x14ac:dyDescent="0.35">
      <c r="B27" s="1" t="s">
        <v>247</v>
      </c>
      <c r="C27" s="20"/>
    </row>
    <row r="28" spans="2:14" ht="26" x14ac:dyDescent="0.35">
      <c r="B28" s="119"/>
      <c r="C28" s="119"/>
      <c r="D28" s="119"/>
      <c r="E28" s="58">
        <v>2019</v>
      </c>
      <c r="F28" s="58">
        <v>2020</v>
      </c>
      <c r="G28" s="58">
        <v>2021</v>
      </c>
      <c r="H28" s="58">
        <v>2022</v>
      </c>
      <c r="I28" s="58">
        <v>2023</v>
      </c>
      <c r="J28" s="134" t="s">
        <v>303</v>
      </c>
      <c r="L28" s="23" t="s">
        <v>304</v>
      </c>
      <c r="M28" s="24" t="s">
        <v>305</v>
      </c>
    </row>
    <row r="29" spans="2:14" ht="13" x14ac:dyDescent="0.35">
      <c r="B29" s="43" t="s">
        <v>135</v>
      </c>
      <c r="C29" s="43"/>
      <c r="D29" s="43"/>
      <c r="E29" s="57">
        <f>'DATA-OIL'!AF128</f>
        <v>228028.47700000001</v>
      </c>
      <c r="F29" s="57">
        <f>'DATA-OIL'!AG128</f>
        <v>210795.24799999999</v>
      </c>
      <c r="G29" s="57">
        <f>'DATA-OIL'!AH128</f>
        <v>214233.70800000001</v>
      </c>
      <c r="H29" s="57">
        <f>'DATA-OIL'!AI128</f>
        <v>217501.23699999999</v>
      </c>
      <c r="I29" s="57">
        <f>'DATA-OIL'!AJ128</f>
        <v>209860.00899999999</v>
      </c>
      <c r="J29" s="133">
        <f>'DATA-OIL'!AK128</f>
        <v>212450.459</v>
      </c>
      <c r="L29" s="28">
        <f t="shared" ref="L29" si="2">J29/I29-1</f>
        <v>1.2343704797992405E-2</v>
      </c>
      <c r="M29" s="29">
        <f t="shared" ref="M29" si="3">J29/AVERAGE(E29:G29)-1</f>
        <v>-2.4050037877755726E-2</v>
      </c>
      <c r="N29" s="59">
        <f>J29/$J$39</f>
        <v>0.40451567190004095</v>
      </c>
    </row>
    <row r="30" spans="2:14" ht="13" x14ac:dyDescent="0.35">
      <c r="B30" s="31" t="s">
        <v>129</v>
      </c>
      <c r="C30" s="31"/>
      <c r="D30" s="31"/>
      <c r="E30" s="32">
        <f>'DATA-OIL'!AF130</f>
        <v>99955.327000000005</v>
      </c>
      <c r="F30" s="32">
        <f>'DATA-OIL'!AG130</f>
        <v>87262.569000000003</v>
      </c>
      <c r="G30" s="32">
        <f>'DATA-OIL'!AH130</f>
        <v>93095.476999999999</v>
      </c>
      <c r="H30" s="32">
        <f>'DATA-OIL'!AI130</f>
        <v>96190.133000000002</v>
      </c>
      <c r="I30" s="32">
        <f>'DATA-OIL'!AJ130</f>
        <v>97841.998000000007</v>
      </c>
      <c r="J30" s="131">
        <f>'DATA-OIL'!AK130</f>
        <v>98141.32</v>
      </c>
      <c r="L30" s="28">
        <f t="shared" ref="L30:L39" si="4">J30/I30-1</f>
        <v>3.059238426426969E-3</v>
      </c>
      <c r="M30" s="29">
        <f t="shared" ref="M30:M39" si="5">J30/AVERAGE(E30:G30)-1</f>
        <v>5.0338615132714315E-2</v>
      </c>
      <c r="N30" s="59">
        <f t="shared" ref="N30:N38" si="6">J30/$J$39</f>
        <v>0.18686569183151036</v>
      </c>
    </row>
    <row r="31" spans="2:14" ht="13" x14ac:dyDescent="0.35">
      <c r="B31" s="31" t="s">
        <v>139</v>
      </c>
      <c r="C31" s="31"/>
      <c r="D31" s="31"/>
      <c r="E31" s="32">
        <f>'DATA-OIL'!AF132</f>
        <v>61149.57</v>
      </c>
      <c r="F31" s="32">
        <f>'DATA-OIL'!AG132</f>
        <v>48811.430999999997</v>
      </c>
      <c r="G31" s="32">
        <f>'DATA-OIL'!AH132</f>
        <v>51950.745000000003</v>
      </c>
      <c r="H31" s="32">
        <f>'DATA-OIL'!AI132</f>
        <v>57336.567000000003</v>
      </c>
      <c r="I31" s="32">
        <f>'DATA-OIL'!AJ132</f>
        <v>54176.226000000002</v>
      </c>
      <c r="J31" s="131">
        <f>'DATA-OIL'!AK132</f>
        <v>51975.95</v>
      </c>
      <c r="K31" s="59"/>
      <c r="L31" s="28">
        <f t="shared" si="4"/>
        <v>-4.0613312562599035E-2</v>
      </c>
      <c r="M31" s="29">
        <f t="shared" si="5"/>
        <v>-3.6957763397845067E-2</v>
      </c>
      <c r="N31" s="59">
        <f t="shared" si="6"/>
        <v>9.8964654799323967E-2</v>
      </c>
    </row>
    <row r="32" spans="2:14" ht="13" x14ac:dyDescent="0.35">
      <c r="B32" s="31" t="s">
        <v>127</v>
      </c>
      <c r="C32" s="31"/>
      <c r="D32" s="31"/>
      <c r="E32" s="32">
        <f>'DATA-OIL'!AF133</f>
        <v>40650.997000000003</v>
      </c>
      <c r="F32" s="32">
        <f>'DATA-OIL'!AG133</f>
        <v>38265.495000000003</v>
      </c>
      <c r="G32" s="32">
        <f>'DATA-OIL'!AH133</f>
        <v>38044.784</v>
      </c>
      <c r="H32" s="32">
        <f>'DATA-OIL'!AI133</f>
        <v>38667.235999999997</v>
      </c>
      <c r="I32" s="32">
        <f>'DATA-OIL'!AJ133</f>
        <v>40280.455000000002</v>
      </c>
      <c r="J32" s="131">
        <f>'DATA-OIL'!AK133</f>
        <v>39121.161</v>
      </c>
      <c r="K32" s="59"/>
      <c r="L32" s="28">
        <f t="shared" si="4"/>
        <v>-2.8780558710173487E-2</v>
      </c>
      <c r="M32" s="29">
        <f t="shared" si="5"/>
        <v>3.4388048228886081E-3</v>
      </c>
      <c r="N32" s="59">
        <f t="shared" si="6"/>
        <v>7.4488531594204169E-2</v>
      </c>
    </row>
    <row r="33" spans="2:14" ht="13" x14ac:dyDescent="0.35">
      <c r="B33" s="31" t="s">
        <v>132</v>
      </c>
      <c r="C33" s="31"/>
      <c r="D33" s="31"/>
      <c r="E33" s="32">
        <f>'DATA-OIL'!AF134</f>
        <v>33037.322999999997</v>
      </c>
      <c r="F33" s="32">
        <f>'DATA-OIL'!AG134</f>
        <v>15838.438</v>
      </c>
      <c r="G33" s="32">
        <f>'DATA-OIL'!AH134</f>
        <v>16295.182000000001</v>
      </c>
      <c r="H33" s="32">
        <f>'DATA-OIL'!AI134</f>
        <v>26879.726999999999</v>
      </c>
      <c r="I33" s="32">
        <f>'DATA-OIL'!AJ134</f>
        <v>30248.061000000002</v>
      </c>
      <c r="J33" s="131">
        <f>'DATA-OIL'!AK134</f>
        <v>30682.29</v>
      </c>
      <c r="K33" s="59"/>
      <c r="L33" s="28">
        <f t="shared" si="4"/>
        <v>1.435559786790952E-2</v>
      </c>
      <c r="M33" s="29">
        <f t="shared" si="5"/>
        <v>0.4123912554096385</v>
      </c>
      <c r="N33" s="59">
        <f t="shared" si="6"/>
        <v>5.8420524075129945E-2</v>
      </c>
    </row>
    <row r="34" spans="2:14" ht="13" x14ac:dyDescent="0.35">
      <c r="B34" s="31" t="s">
        <v>124</v>
      </c>
      <c r="C34" s="31"/>
      <c r="D34" s="31"/>
      <c r="E34" s="32">
        <f>'DATA-OIL'!AF137</f>
        <v>18563.830000000002</v>
      </c>
      <c r="F34" s="32">
        <f>'DATA-OIL'!AG137</f>
        <v>16530.993999999999</v>
      </c>
      <c r="G34" s="32">
        <f>'DATA-OIL'!AH137</f>
        <v>17187.914000000001</v>
      </c>
      <c r="H34" s="32">
        <f>'DATA-OIL'!AI137</f>
        <v>19118.067999999999</v>
      </c>
      <c r="I34" s="32">
        <f>'DATA-OIL'!AJ137</f>
        <v>18311.18</v>
      </c>
      <c r="J34" s="131">
        <f>'DATA-OIL'!AK137</f>
        <v>17526.844000000001</v>
      </c>
      <c r="K34" s="59"/>
      <c r="L34" s="28">
        <f t="shared" si="4"/>
        <v>-4.283372234886007E-2</v>
      </c>
      <c r="M34" s="29">
        <f t="shared" si="5"/>
        <v>5.6958378882148164E-3</v>
      </c>
      <c r="N34" s="59">
        <f t="shared" si="6"/>
        <v>3.3371935793027406E-2</v>
      </c>
    </row>
    <row r="35" spans="2:14" ht="13" x14ac:dyDescent="0.35">
      <c r="B35" s="31" t="s">
        <v>126</v>
      </c>
      <c r="C35" s="31"/>
      <c r="D35" s="31"/>
      <c r="E35" s="32">
        <f>'DATA-OIL'!AF139</f>
        <v>14286.621999999999</v>
      </c>
      <c r="F35" s="32">
        <f>'DATA-OIL'!AG139</f>
        <v>12480.968000000001</v>
      </c>
      <c r="G35" s="32">
        <f>'DATA-OIL'!AH139</f>
        <v>13675.874</v>
      </c>
      <c r="H35" s="32">
        <f>'DATA-OIL'!AI139</f>
        <v>12341.460999999999</v>
      </c>
      <c r="I35" s="32">
        <f>'DATA-OIL'!AJ139</f>
        <v>12366.275</v>
      </c>
      <c r="J35" s="131">
        <f>'DATA-OIL'!AK139</f>
        <v>12472.608</v>
      </c>
      <c r="K35" s="59"/>
      <c r="L35" s="28">
        <f t="shared" si="4"/>
        <v>8.5986281236669626E-3</v>
      </c>
      <c r="M35" s="29">
        <f t="shared" si="5"/>
        <v>-7.4811593784350428E-2</v>
      </c>
      <c r="N35" s="59">
        <f t="shared" si="6"/>
        <v>2.3748432595600208E-2</v>
      </c>
    </row>
    <row r="36" spans="2:14" ht="13" x14ac:dyDescent="0.35">
      <c r="B36" s="31" t="s">
        <v>145</v>
      </c>
      <c r="C36" s="31"/>
      <c r="D36" s="31"/>
      <c r="E36" s="32">
        <f>'DATA-OIL'!AF140</f>
        <v>10283.297</v>
      </c>
      <c r="F36" s="32">
        <f>'DATA-OIL'!AG140</f>
        <v>9764.5779999999995</v>
      </c>
      <c r="G36" s="32">
        <f>'DATA-OIL'!AH140</f>
        <v>9541.77</v>
      </c>
      <c r="H36" s="32">
        <f>'DATA-OIL'!AI140</f>
        <v>10391.716</v>
      </c>
      <c r="I36" s="32">
        <f>'DATA-OIL'!AJ140</f>
        <v>10198.087</v>
      </c>
      <c r="J36" s="131">
        <f>'DATA-OIL'!AK140</f>
        <v>10438.137000000001</v>
      </c>
      <c r="K36" s="59"/>
      <c r="L36" s="28">
        <f t="shared" si="4"/>
        <v>2.3538728390922747E-2</v>
      </c>
      <c r="M36" s="29">
        <f t="shared" si="5"/>
        <v>5.8289513105006963E-2</v>
      </c>
      <c r="N36" s="59">
        <f t="shared" si="6"/>
        <v>1.9874704068959803E-2</v>
      </c>
    </row>
    <row r="37" spans="2:14" ht="13" x14ac:dyDescent="0.35">
      <c r="B37" s="31" t="s">
        <v>134</v>
      </c>
      <c r="C37" s="31"/>
      <c r="D37" s="31"/>
      <c r="E37" s="32">
        <f>'DATA-OIL'!AF141</f>
        <v>10942.914000000001</v>
      </c>
      <c r="F37" s="32">
        <f>'DATA-OIL'!AG141</f>
        <v>8749.3940000000002</v>
      </c>
      <c r="G37" s="32">
        <f>'DATA-OIL'!AH141</f>
        <v>9318.7270000000008</v>
      </c>
      <c r="H37" s="32">
        <f>'DATA-OIL'!AI141</f>
        <v>10413.656999999999</v>
      </c>
      <c r="I37" s="32">
        <f>'DATA-OIL'!AJ141</f>
        <v>10609.934999999999</v>
      </c>
      <c r="J37" s="131">
        <f>'DATA-OIL'!AK141</f>
        <v>10754.861999999999</v>
      </c>
      <c r="K37" s="59"/>
      <c r="L37" s="28">
        <f t="shared" si="4"/>
        <v>1.36595558785233E-2</v>
      </c>
      <c r="M37" s="29">
        <f t="shared" si="5"/>
        <v>0.1121487392642142</v>
      </c>
      <c r="N37" s="59">
        <f t="shared" si="6"/>
        <v>2.0477763374106044E-2</v>
      </c>
    </row>
    <row r="38" spans="2:14" ht="13" x14ac:dyDescent="0.35">
      <c r="B38" s="33" t="s">
        <v>151</v>
      </c>
      <c r="C38" s="33"/>
      <c r="D38" s="33"/>
      <c r="E38" s="34">
        <f>E14-SUM(E29:E37)</f>
        <v>46204.445999999938</v>
      </c>
      <c r="F38" s="34">
        <f>F14-SUM(F29:F37)</f>
        <v>47767.227000000014</v>
      </c>
      <c r="G38" s="34">
        <f>G14-SUM(G29:G37)</f>
        <v>48647.97100000002</v>
      </c>
      <c r="H38" s="34">
        <f>H14-SUM(H29:H37)</f>
        <v>46104.510000000009</v>
      </c>
      <c r="I38" s="34">
        <f>I14-SUM(I29:I37)</f>
        <v>44077.910999999964</v>
      </c>
      <c r="J38" s="131">
        <f>J14-SUM(J29:J37)</f>
        <v>41633.472000000009</v>
      </c>
      <c r="L38" s="28">
        <f t="shared" si="4"/>
        <v>-5.5457233442845255E-2</v>
      </c>
      <c r="M38" s="29">
        <f t="shared" si="5"/>
        <v>-0.12424114591114777</v>
      </c>
      <c r="N38" s="59">
        <f t="shared" si="6"/>
        <v>7.927208996809719E-2</v>
      </c>
    </row>
    <row r="39" spans="2:14" ht="13" x14ac:dyDescent="0.35">
      <c r="B39" s="55" t="s">
        <v>107</v>
      </c>
      <c r="C39" s="60"/>
      <c r="D39" s="60"/>
      <c r="E39" s="56">
        <v>563102.80299999996</v>
      </c>
      <c r="F39" s="56">
        <v>496266.342</v>
      </c>
      <c r="G39" s="56">
        <v>511992.152</v>
      </c>
      <c r="H39" s="56">
        <v>534944.31200000003</v>
      </c>
      <c r="I39" s="56">
        <v>527970.13699999999</v>
      </c>
      <c r="J39" s="132">
        <v>525197.103</v>
      </c>
      <c r="L39" s="28">
        <f t="shared" si="4"/>
        <v>-5.2522553941340977E-3</v>
      </c>
      <c r="M39" s="29">
        <f t="shared" si="5"/>
        <v>2.6919410628707396E-3</v>
      </c>
    </row>
    <row r="40" spans="2:14" ht="15.5" customHeight="1" x14ac:dyDescent="0.25">
      <c r="B40" s="39" t="s">
        <v>302</v>
      </c>
      <c r="C40" s="39"/>
    </row>
    <row r="41" spans="2:14" ht="16" customHeight="1" x14ac:dyDescent="0.3">
      <c r="B41" s="41" t="s">
        <v>270</v>
      </c>
      <c r="C41" s="41"/>
    </row>
  </sheetData>
  <mergeCells count="3">
    <mergeCell ref="B28:D28"/>
    <mergeCell ref="B4:B12"/>
    <mergeCell ref="B13:B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B2:R67"/>
  <sheetViews>
    <sheetView topLeftCell="A54" zoomScaleNormal="100" workbookViewId="0">
      <selection activeCell="B48" sqref="B48:I64"/>
    </sheetView>
  </sheetViews>
  <sheetFormatPr defaultColWidth="9.1796875" defaultRowHeight="12.5" x14ac:dyDescent="0.35"/>
  <cols>
    <col min="1" max="1" width="9.1796875" style="22"/>
    <col min="2" max="2" width="1.81640625" style="22" customWidth="1"/>
    <col min="3" max="3" width="39.7265625" style="22" customWidth="1"/>
    <col min="4" max="8" width="10.7265625" style="22" customWidth="1"/>
    <col min="9" max="9" width="10.7265625" style="40" customWidth="1"/>
    <col min="10" max="16384" width="9.1796875" style="22"/>
  </cols>
  <sheetData>
    <row r="2" spans="3:18" ht="15.5" x14ac:dyDescent="0.35">
      <c r="C2" s="1" t="s">
        <v>248</v>
      </c>
    </row>
    <row r="3" spans="3:18" ht="26" x14ac:dyDescent="0.35">
      <c r="C3" s="21"/>
      <c r="D3" s="21">
        <v>2019</v>
      </c>
      <c r="E3" s="21">
        <v>2020</v>
      </c>
      <c r="F3" s="21">
        <v>2021</v>
      </c>
      <c r="G3" s="21">
        <v>2022</v>
      </c>
      <c r="H3" s="21">
        <v>2023</v>
      </c>
      <c r="I3" s="128" t="s">
        <v>303</v>
      </c>
      <c r="K3" s="23" t="s">
        <v>304</v>
      </c>
      <c r="L3" s="24" t="s">
        <v>305</v>
      </c>
      <c r="N3" s="22" t="s">
        <v>279</v>
      </c>
      <c r="P3" s="22" t="s">
        <v>306</v>
      </c>
      <c r="R3" s="22" t="s">
        <v>280</v>
      </c>
    </row>
    <row r="4" spans="3:18" ht="13" x14ac:dyDescent="0.35">
      <c r="C4" s="26" t="s">
        <v>55</v>
      </c>
      <c r="D4" s="27">
        <f>'DATA-ELE'!AE61</f>
        <v>680</v>
      </c>
      <c r="E4" s="27">
        <f>'DATA-ELE'!AF61</f>
        <v>715</v>
      </c>
      <c r="F4" s="27">
        <f>'DATA-ELE'!AG61</f>
        <v>635.66300000000001</v>
      </c>
      <c r="G4" s="27">
        <f>'DATA-ELE'!AH61</f>
        <v>609.50099999999998</v>
      </c>
      <c r="H4" s="27">
        <f>'DATA-ELE'!AI61</f>
        <v>265.161</v>
      </c>
      <c r="I4" s="129">
        <f>'DATA-ELE'!AJ61</f>
        <v>235.56299999999999</v>
      </c>
      <c r="K4" s="28">
        <f>I4/H4-1</f>
        <v>-0.11162274995191601</v>
      </c>
      <c r="L4" s="29">
        <f>I4/AVERAGE(D4:F4)-1</f>
        <v>-0.65199099998374921</v>
      </c>
      <c r="N4" s="49">
        <f>I4-H4</f>
        <v>-29.598000000000013</v>
      </c>
      <c r="P4" s="59">
        <f>I4/D4-1</f>
        <v>-0.6535838235294118</v>
      </c>
      <c r="R4" s="59">
        <f>I4/$I$39</f>
        <v>8.4821964640091811E-5</v>
      </c>
    </row>
    <row r="5" spans="3:18" ht="13" x14ac:dyDescent="0.35">
      <c r="C5" s="31" t="s">
        <v>56</v>
      </c>
      <c r="D5" s="32">
        <f>'DATA-ELE'!AE62</f>
        <v>12.552</v>
      </c>
      <c r="E5" s="32">
        <f>'DATA-ELE'!AF62</f>
        <v>81.09</v>
      </c>
      <c r="F5" s="32">
        <f>'DATA-ELE'!AG62</f>
        <v>64.119</v>
      </c>
      <c r="G5" s="32">
        <f>'DATA-ELE'!AH62</f>
        <v>2247.7139999999999</v>
      </c>
      <c r="H5" s="32">
        <f>'DATA-ELE'!AI62</f>
        <v>4853</v>
      </c>
      <c r="I5" s="131">
        <f>'DATA-ELE'!AJ62</f>
        <v>3917</v>
      </c>
      <c r="K5" s="28">
        <f t="shared" ref="K5:K39" si="0">I5/H5-1</f>
        <v>-0.19287038944982482</v>
      </c>
      <c r="L5" s="29">
        <f t="shared" ref="L5:L39" si="1">I5/AVERAGE(D5:F5)-1</f>
        <v>73.486089717991149</v>
      </c>
      <c r="N5" s="49">
        <f t="shared" ref="N5:N38" si="2">I5-H5</f>
        <v>-936</v>
      </c>
      <c r="P5" s="59">
        <f>I5/D5-1</f>
        <v>311.06182281708095</v>
      </c>
      <c r="R5" s="59">
        <f t="shared" ref="R5:R38" si="3">I5/$I$39</f>
        <v>1.410440669779378E-3</v>
      </c>
    </row>
    <row r="6" spans="3:18" ht="13" x14ac:dyDescent="0.35">
      <c r="C6" s="31" t="s">
        <v>57</v>
      </c>
      <c r="D6" s="32">
        <f>'DATA-ELE'!AE63</f>
        <v>205412.80799999999</v>
      </c>
      <c r="E6" s="32">
        <f>'DATA-ELE'!AF63</f>
        <v>154120.56700000001</v>
      </c>
      <c r="F6" s="32">
        <f>'DATA-ELE'!AG63</f>
        <v>189936.19200000001</v>
      </c>
      <c r="G6" s="32">
        <f>'DATA-ELE'!AH63</f>
        <v>202618.777</v>
      </c>
      <c r="H6" s="32">
        <f>'DATA-ELE'!AI63</f>
        <v>134292.766</v>
      </c>
      <c r="I6" s="131">
        <f>'DATA-ELE'!AJ63</f>
        <v>104073.605</v>
      </c>
      <c r="K6" s="28">
        <f t="shared" si="0"/>
        <v>-0.22502448866084124</v>
      </c>
      <c r="L6" s="29">
        <f t="shared" si="1"/>
        <v>-0.43177778397324784</v>
      </c>
      <c r="N6" s="49">
        <f t="shared" si="2"/>
        <v>-30219.161000000007</v>
      </c>
      <c r="P6" s="59">
        <f t="shared" ref="P6:P38" si="4">I6/D6-1</f>
        <v>-0.49334412973897912</v>
      </c>
      <c r="R6" s="59">
        <f t="shared" si="3"/>
        <v>3.7475017907213283E-2</v>
      </c>
    </row>
    <row r="7" spans="3:18" ht="13" x14ac:dyDescent="0.35">
      <c r="C7" s="31" t="s">
        <v>59</v>
      </c>
      <c r="D7" s="32">
        <f>'DATA-ELE'!AE64</f>
        <v>1553.6949999999999</v>
      </c>
      <c r="E7" s="32">
        <f>'DATA-ELE'!AF64</f>
        <v>572.08799999999997</v>
      </c>
      <c r="F7" s="32">
        <f>'DATA-ELE'!AG64</f>
        <v>388.8</v>
      </c>
      <c r="G7" s="32">
        <f>'DATA-ELE'!AH64</f>
        <v>367.428</v>
      </c>
      <c r="H7" s="32">
        <f>'DATA-ELE'!AI64</f>
        <v>484.036</v>
      </c>
      <c r="I7" s="131">
        <f>'DATA-ELE'!AJ64</f>
        <v>316.24900000000002</v>
      </c>
      <c r="K7" s="28">
        <f t="shared" si="0"/>
        <v>-0.34664157211447078</v>
      </c>
      <c r="L7" s="29">
        <f t="shared" si="1"/>
        <v>-0.62270205437641146</v>
      </c>
      <c r="N7" s="49">
        <f t="shared" si="2"/>
        <v>-167.78699999999998</v>
      </c>
      <c r="P7" s="59">
        <f t="shared" si="4"/>
        <v>-0.79645361541357862</v>
      </c>
      <c r="R7" s="59">
        <f t="shared" si="3"/>
        <v>1.1387553009370911E-4</v>
      </c>
    </row>
    <row r="8" spans="3:18" ht="13" x14ac:dyDescent="0.35">
      <c r="C8" s="31" t="s">
        <v>60</v>
      </c>
      <c r="D8" s="32">
        <f>'DATA-ELE'!AE65</f>
        <v>241438.576</v>
      </c>
      <c r="E8" s="32">
        <f>'DATA-ELE'!AF65</f>
        <v>195400.734</v>
      </c>
      <c r="F8" s="32">
        <f>'DATA-ELE'!AG65</f>
        <v>226632.53899999999</v>
      </c>
      <c r="G8" s="32">
        <f>'DATA-ELE'!AH65</f>
        <v>241291.41399999999</v>
      </c>
      <c r="H8" s="32">
        <f>'DATA-ELE'!AI65</f>
        <v>178498.90299999999</v>
      </c>
      <c r="I8" s="131">
        <f>'DATA-ELE'!AJ65</f>
        <v>163546.54399999999</v>
      </c>
      <c r="K8" s="28">
        <f t="shared" si="0"/>
        <v>-8.3767231891615612E-2</v>
      </c>
      <c r="L8" s="29">
        <f t="shared" si="1"/>
        <v>-0.26049668461517494</v>
      </c>
      <c r="N8" s="49">
        <f t="shared" si="2"/>
        <v>-14952.358999999997</v>
      </c>
      <c r="P8" s="59">
        <f t="shared" si="4"/>
        <v>-0.32261634942711059</v>
      </c>
      <c r="R8" s="59">
        <f t="shared" si="3"/>
        <v>5.8890144768818618E-2</v>
      </c>
    </row>
    <row r="9" spans="3:18" ht="13" x14ac:dyDescent="0.35">
      <c r="C9" s="31" t="s">
        <v>64</v>
      </c>
      <c r="D9" s="32">
        <f>'DATA-ELE'!AE69</f>
        <v>1799.37</v>
      </c>
      <c r="E9" s="32">
        <f>'DATA-ELE'!AF69</f>
        <v>1509.88</v>
      </c>
      <c r="F9" s="32">
        <f>'DATA-ELE'!AG69</f>
        <v>1509.2439999999999</v>
      </c>
      <c r="G9" s="32">
        <f>'DATA-ELE'!AH69</f>
        <v>1401.905</v>
      </c>
      <c r="H9" s="32">
        <f>'DATA-ELE'!AI69</f>
        <v>830.51599999999996</v>
      </c>
      <c r="I9" s="131">
        <f>'DATA-ELE'!AJ69</f>
        <v>965.327</v>
      </c>
      <c r="K9" s="28">
        <f t="shared" si="0"/>
        <v>0.16232197814370819</v>
      </c>
      <c r="L9" s="29">
        <f t="shared" si="1"/>
        <v>-0.39898628077569465</v>
      </c>
      <c r="N9" s="49">
        <f t="shared" si="2"/>
        <v>134.81100000000004</v>
      </c>
      <c r="P9" s="59">
        <f t="shared" si="4"/>
        <v>-0.46351945403113304</v>
      </c>
      <c r="R9" s="59">
        <f t="shared" si="3"/>
        <v>3.4759674762218989E-4</v>
      </c>
    </row>
    <row r="10" spans="3:18" ht="13" x14ac:dyDescent="0.35">
      <c r="C10" s="31" t="s">
        <v>77</v>
      </c>
      <c r="D10" s="32">
        <f>'DATA-ELE'!AE71</f>
        <v>7156.0950000000003</v>
      </c>
      <c r="E10" s="32">
        <f>'DATA-ELE'!AF71</f>
        <v>6234.69</v>
      </c>
      <c r="F10" s="32">
        <f>'DATA-ELE'!AG71</f>
        <v>6117.2439999999997</v>
      </c>
      <c r="G10" s="32">
        <f>'DATA-ELE'!AH71</f>
        <v>5777.826</v>
      </c>
      <c r="H10" s="32">
        <f>'DATA-ELE'!AI71</f>
        <v>5269.4080000000004</v>
      </c>
      <c r="I10" s="131">
        <f>'DATA-ELE'!AJ71</f>
        <v>5518.8789999999999</v>
      </c>
      <c r="K10" s="28">
        <f t="shared" si="0"/>
        <v>4.7343268921290482E-2</v>
      </c>
      <c r="L10" s="29">
        <f t="shared" si="1"/>
        <v>-0.15129114273922795</v>
      </c>
      <c r="N10" s="49">
        <f t="shared" si="2"/>
        <v>249.47099999999955</v>
      </c>
      <c r="P10" s="59">
        <f t="shared" si="4"/>
        <v>-0.22878623047905322</v>
      </c>
      <c r="R10" s="59">
        <f t="shared" si="3"/>
        <v>1.9872482494744303E-3</v>
      </c>
    </row>
    <row r="11" spans="3:18" ht="13" x14ac:dyDescent="0.35">
      <c r="C11" s="31" t="s">
        <v>78</v>
      </c>
      <c r="D11" s="32">
        <f>'DATA-ELE'!AE72</f>
        <v>1733.922</v>
      </c>
      <c r="E11" s="32">
        <f>'DATA-ELE'!AF72</f>
        <v>1250.365</v>
      </c>
      <c r="F11" s="32">
        <f>'DATA-ELE'!AG72</f>
        <v>142.19999999999999</v>
      </c>
      <c r="G11" s="32">
        <f>'DATA-ELE'!AH72</f>
        <v>203.304</v>
      </c>
      <c r="H11" s="32">
        <f>'DATA-ELE'!AI72</f>
        <v>191.90899999999999</v>
      </c>
      <c r="I11" s="131">
        <f>'DATA-ELE'!AJ72</f>
        <v>0</v>
      </c>
      <c r="K11" s="28">
        <f t="shared" si="0"/>
        <v>-1</v>
      </c>
      <c r="L11" s="29">
        <f t="shared" si="1"/>
        <v>-1</v>
      </c>
      <c r="N11" s="49">
        <f t="shared" si="2"/>
        <v>-191.90899999999999</v>
      </c>
      <c r="P11" s="59">
        <f t="shared" si="4"/>
        <v>-1</v>
      </c>
      <c r="R11" s="59">
        <f t="shared" si="3"/>
        <v>0</v>
      </c>
    </row>
    <row r="12" spans="3:18" ht="13" x14ac:dyDescent="0.35">
      <c r="C12" s="31" t="s">
        <v>79</v>
      </c>
      <c r="D12" s="32">
        <f>'DATA-ELE'!AE73</f>
        <v>19460.887999999999</v>
      </c>
      <c r="E12" s="32">
        <f>'DATA-ELE'!AF73</f>
        <v>16349.994000000001</v>
      </c>
      <c r="F12" s="32">
        <f>'DATA-ELE'!AG73</f>
        <v>19914.830000000002</v>
      </c>
      <c r="G12" s="32">
        <f>'DATA-ELE'!AH73</f>
        <v>17880.986000000001</v>
      </c>
      <c r="H12" s="32">
        <f>'DATA-ELE'!AI73</f>
        <v>16552.076000000001</v>
      </c>
      <c r="I12" s="131">
        <f>'DATA-ELE'!AJ73</f>
        <v>16897.870999999999</v>
      </c>
      <c r="K12" s="28">
        <f t="shared" si="0"/>
        <v>2.089133713499125E-2</v>
      </c>
      <c r="L12" s="29">
        <f t="shared" si="1"/>
        <v>-9.0301206021378477E-2</v>
      </c>
      <c r="N12" s="49">
        <f t="shared" si="2"/>
        <v>345.79499999999825</v>
      </c>
      <c r="P12" s="59">
        <f t="shared" si="4"/>
        <v>-0.13170092752190954</v>
      </c>
      <c r="R12" s="59">
        <f t="shared" si="3"/>
        <v>6.0846169239432034E-3</v>
      </c>
    </row>
    <row r="13" spans="3:18" ht="13" x14ac:dyDescent="0.35">
      <c r="C13" s="31" t="s">
        <v>66</v>
      </c>
      <c r="D13" s="32">
        <f>'DATA-ELE'!AE75</f>
        <v>5160.7330000000002</v>
      </c>
      <c r="E13" s="32">
        <f>'DATA-ELE'!AF75</f>
        <v>3136.6669999999999</v>
      </c>
      <c r="F13" s="32">
        <f>'DATA-ELE'!AG75</f>
        <v>2502.3409999999999</v>
      </c>
      <c r="G13" s="32">
        <f>'DATA-ELE'!AH75</f>
        <v>2469.3780000000002</v>
      </c>
      <c r="H13" s="32">
        <f>'DATA-ELE'!AI75</f>
        <v>1352.5709999999999</v>
      </c>
      <c r="I13" s="131">
        <f>'DATA-ELE'!AJ75</f>
        <v>1064.0999999999999</v>
      </c>
      <c r="K13" s="28">
        <f t="shared" si="0"/>
        <v>-0.21327604983398285</v>
      </c>
      <c r="L13" s="29">
        <f t="shared" si="1"/>
        <v>-0.70440957797043469</v>
      </c>
      <c r="N13" s="49">
        <f t="shared" si="2"/>
        <v>-288.471</v>
      </c>
      <c r="P13" s="59">
        <f t="shared" si="4"/>
        <v>-0.79380836016899159</v>
      </c>
      <c r="R13" s="59">
        <f t="shared" si="3"/>
        <v>3.8316311378918462E-4</v>
      </c>
    </row>
    <row r="14" spans="3:18" ht="13" x14ac:dyDescent="0.3">
      <c r="C14" s="61" t="s">
        <v>68</v>
      </c>
      <c r="D14" s="32">
        <f>'DATA-ELE'!AE77</f>
        <v>4318.22</v>
      </c>
      <c r="E14" s="32">
        <f>'DATA-ELE'!AF77</f>
        <v>2247.2060000000001</v>
      </c>
      <c r="F14" s="32">
        <f>'DATA-ELE'!AG77</f>
        <v>3444.4569999999999</v>
      </c>
      <c r="G14" s="32">
        <f>'DATA-ELE'!AH77</f>
        <v>5077.3940000000002</v>
      </c>
      <c r="H14" s="32">
        <f>'DATA-ELE'!AI77</f>
        <v>1975.972</v>
      </c>
      <c r="I14" s="131">
        <f>'DATA-ELE'!AJ77</f>
        <v>1246.8869999999999</v>
      </c>
      <c r="K14" s="28">
        <f t="shared" si="0"/>
        <v>-0.36897537009633741</v>
      </c>
      <c r="L14" s="29">
        <f t="shared" si="1"/>
        <v>-0.62630322452320375</v>
      </c>
      <c r="N14" s="49">
        <f t="shared" si="2"/>
        <v>-729.08500000000004</v>
      </c>
      <c r="P14" s="59">
        <f t="shared" si="4"/>
        <v>-0.71124977421252278</v>
      </c>
      <c r="R14" s="59">
        <f t="shared" si="3"/>
        <v>4.489813978604032E-4</v>
      </c>
    </row>
    <row r="15" spans="3:18" ht="13" x14ac:dyDescent="0.3">
      <c r="C15" s="61" t="s">
        <v>81</v>
      </c>
      <c r="D15" s="32">
        <f>'DATA-ELE'!AE78</f>
        <v>569299.00300000003</v>
      </c>
      <c r="E15" s="32">
        <f>'DATA-ELE'!AF78</f>
        <v>560928.34</v>
      </c>
      <c r="F15" s="32">
        <f>'DATA-ELE'!AG78</f>
        <v>553695.47499999998</v>
      </c>
      <c r="G15" s="32">
        <f>'DATA-ELE'!AH78</f>
        <v>538346.37199999997</v>
      </c>
      <c r="H15" s="32">
        <f>'DATA-ELE'!AI78</f>
        <v>458568.55200000003</v>
      </c>
      <c r="I15" s="131">
        <f>'DATA-ELE'!AJ78</f>
        <v>443377.16499999998</v>
      </c>
      <c r="K15" s="28">
        <f t="shared" si="0"/>
        <v>-3.3127843010045899E-2</v>
      </c>
      <c r="L15" s="29">
        <f t="shared" si="1"/>
        <v>-0.21009948865720529</v>
      </c>
      <c r="N15" s="49">
        <f t="shared" si="2"/>
        <v>-15191.387000000046</v>
      </c>
      <c r="P15" s="59">
        <f t="shared" si="4"/>
        <v>-0.2211875259511038</v>
      </c>
      <c r="R15" s="59">
        <f t="shared" si="3"/>
        <v>0.15965207698940051</v>
      </c>
    </row>
    <row r="16" spans="3:18" ht="13" x14ac:dyDescent="0.35">
      <c r="C16" s="31" t="s">
        <v>124</v>
      </c>
      <c r="D16" s="32">
        <f>'DATA-ELE'!AE81</f>
        <v>6969.0910000000003</v>
      </c>
      <c r="E16" s="32">
        <f>'DATA-ELE'!AF81</f>
        <v>6634.0129999999999</v>
      </c>
      <c r="F16" s="32">
        <f>'DATA-ELE'!AG81</f>
        <v>6179.6139999999996</v>
      </c>
      <c r="G16" s="32">
        <f>'DATA-ELE'!AH81</f>
        <v>8005.3710000000001</v>
      </c>
      <c r="H16" s="32">
        <f>'DATA-ELE'!AI81</f>
        <v>6608.6360000000004</v>
      </c>
      <c r="I16" s="131">
        <f>'DATA-ELE'!AJ81</f>
        <v>6132.2219999999998</v>
      </c>
      <c r="K16" s="28">
        <f t="shared" si="0"/>
        <v>-7.2089611229911976E-2</v>
      </c>
      <c r="L16" s="29">
        <f t="shared" si="1"/>
        <v>-7.0063779911334834E-2</v>
      </c>
      <c r="N16" s="49">
        <f t="shared" si="2"/>
        <v>-476.41400000000067</v>
      </c>
      <c r="P16" s="59">
        <f t="shared" si="4"/>
        <v>-0.12008294912492901</v>
      </c>
      <c r="R16" s="59">
        <f t="shared" si="3"/>
        <v>2.2081019415154039E-3</v>
      </c>
    </row>
    <row r="17" spans="3:18" ht="13" x14ac:dyDescent="0.35">
      <c r="C17" s="31" t="s">
        <v>126</v>
      </c>
      <c r="D17" s="32">
        <f>'DATA-ELE'!AE82</f>
        <v>232.40700000000001</v>
      </c>
      <c r="E17" s="32">
        <f>'DATA-ELE'!AF82</f>
        <v>147.13999999999999</v>
      </c>
      <c r="F17" s="32">
        <f>'DATA-ELE'!AG82</f>
        <v>240.417</v>
      </c>
      <c r="G17" s="32">
        <f>'DATA-ELE'!AH82</f>
        <v>215.28399999999999</v>
      </c>
      <c r="H17" s="32">
        <f>'DATA-ELE'!AI82</f>
        <v>525.83900000000006</v>
      </c>
      <c r="I17" s="131">
        <f>'DATA-ELE'!AJ82</f>
        <v>311.12299999999999</v>
      </c>
      <c r="K17" s="28">
        <f t="shared" si="0"/>
        <v>-0.40833030642459012</v>
      </c>
      <c r="L17" s="29">
        <f t="shared" si="1"/>
        <v>0.5055212883328708</v>
      </c>
      <c r="N17" s="49">
        <f t="shared" si="2"/>
        <v>-214.71600000000007</v>
      </c>
      <c r="P17" s="59">
        <f t="shared" si="4"/>
        <v>0.33869892042838634</v>
      </c>
      <c r="R17" s="59">
        <f t="shared" si="3"/>
        <v>1.1202975044773281E-4</v>
      </c>
    </row>
    <row r="18" spans="3:18" ht="13" x14ac:dyDescent="0.35">
      <c r="C18" s="31" t="s">
        <v>135</v>
      </c>
      <c r="D18" s="32">
        <f>'DATA-ELE'!AE86</f>
        <v>10271.334999999999</v>
      </c>
      <c r="E18" s="32">
        <f>'DATA-ELE'!AF86</f>
        <v>10086.893</v>
      </c>
      <c r="F18" s="32">
        <f>'DATA-ELE'!AG86</f>
        <v>10610.200999999999</v>
      </c>
      <c r="G18" s="32">
        <f>'DATA-ELE'!AH86</f>
        <v>11990.433000000001</v>
      </c>
      <c r="H18" s="32">
        <f>'DATA-ELE'!AI86</f>
        <v>11623.516</v>
      </c>
      <c r="I18" s="131">
        <f>'DATA-ELE'!AJ86</f>
        <v>12000.338</v>
      </c>
      <c r="K18" s="28">
        <f t="shared" si="0"/>
        <v>3.2418934167596225E-2</v>
      </c>
      <c r="L18" s="29">
        <f t="shared" si="1"/>
        <v>0.16250695183795094</v>
      </c>
      <c r="N18" s="49">
        <f t="shared" si="2"/>
        <v>376.82200000000012</v>
      </c>
      <c r="P18" s="59">
        <f t="shared" si="4"/>
        <v>0.16833284086245848</v>
      </c>
      <c r="R18" s="59">
        <f t="shared" si="3"/>
        <v>4.3211041016846877E-3</v>
      </c>
    </row>
    <row r="19" spans="3:18" ht="13" x14ac:dyDescent="0.35">
      <c r="C19" s="31" t="s">
        <v>139</v>
      </c>
      <c r="D19" s="32">
        <f>'DATA-ELE'!AE87</f>
        <v>24893.741000000002</v>
      </c>
      <c r="E19" s="32">
        <f>'DATA-ELE'!AF87</f>
        <v>21345.440999999999</v>
      </c>
      <c r="F19" s="32">
        <f>'DATA-ELE'!AG87</f>
        <v>23286.478999999999</v>
      </c>
      <c r="G19" s="32">
        <f>'DATA-ELE'!AH87</f>
        <v>24899.807000000001</v>
      </c>
      <c r="H19" s="32">
        <f>'DATA-ELE'!AI87</f>
        <v>20058.084999999999</v>
      </c>
      <c r="I19" s="131">
        <f>'DATA-ELE'!AJ87</f>
        <v>19570.274000000001</v>
      </c>
      <c r="K19" s="28">
        <f t="shared" si="0"/>
        <v>-2.4319918875605473E-2</v>
      </c>
      <c r="L19" s="29">
        <f t="shared" si="1"/>
        <v>-0.15555176095341239</v>
      </c>
      <c r="N19" s="49">
        <f t="shared" si="2"/>
        <v>-487.81099999999788</v>
      </c>
      <c r="P19" s="59">
        <f t="shared" si="4"/>
        <v>-0.21384760932476965</v>
      </c>
      <c r="R19" s="59">
        <f t="shared" si="3"/>
        <v>7.0469007833357036E-3</v>
      </c>
    </row>
    <row r="20" spans="3:18" ht="13" x14ac:dyDescent="0.35">
      <c r="C20" s="31" t="s">
        <v>145</v>
      </c>
      <c r="D20" s="32">
        <f>'DATA-ELE'!AE89</f>
        <v>621.46199999999999</v>
      </c>
      <c r="E20" s="32">
        <f>'DATA-ELE'!AF89</f>
        <v>516.87900000000002</v>
      </c>
      <c r="F20" s="32">
        <f>'DATA-ELE'!AG89</f>
        <v>429.95100000000002</v>
      </c>
      <c r="G20" s="32">
        <f>'DATA-ELE'!AH89</f>
        <v>496.39400000000001</v>
      </c>
      <c r="H20" s="32">
        <f>'DATA-ELE'!AI89</f>
        <v>355.41300000000001</v>
      </c>
      <c r="I20" s="131">
        <f>'DATA-ELE'!AJ89</f>
        <v>402.512</v>
      </c>
      <c r="K20" s="28">
        <f t="shared" si="0"/>
        <v>0.13251906936437319</v>
      </c>
      <c r="L20" s="29">
        <f t="shared" si="1"/>
        <v>-0.23003114215975085</v>
      </c>
      <c r="N20" s="49">
        <f t="shared" si="2"/>
        <v>47.09899999999999</v>
      </c>
      <c r="P20" s="59">
        <f t="shared" si="4"/>
        <v>-0.35231438124937642</v>
      </c>
      <c r="R20" s="59">
        <f t="shared" si="3"/>
        <v>1.4493727211494436E-4</v>
      </c>
    </row>
    <row r="21" spans="3:18" ht="13" x14ac:dyDescent="0.35">
      <c r="C21" s="31" t="s">
        <v>184</v>
      </c>
      <c r="D21" s="32">
        <f>'DATA-ELE'!AE91</f>
        <v>80567.258000000002</v>
      </c>
      <c r="E21" s="32">
        <f>'DATA-ELE'!AF91</f>
        <v>82951.154999999999</v>
      </c>
      <c r="F21" s="32">
        <f>'DATA-ELE'!AG91</f>
        <v>92672.31</v>
      </c>
      <c r="G21" s="32">
        <f>'DATA-ELE'!AH91</f>
        <v>88394.566999999995</v>
      </c>
      <c r="H21" s="32">
        <f>'DATA-ELE'!AI91</f>
        <v>78397.661999999997</v>
      </c>
      <c r="I21" s="131">
        <f>'DATA-ELE'!AJ91</f>
        <v>75031.561000000002</v>
      </c>
      <c r="K21" s="28">
        <f t="shared" si="0"/>
        <v>-4.2936242154772319E-2</v>
      </c>
      <c r="L21" s="29">
        <f t="shared" si="1"/>
        <v>-0.12137847786158906</v>
      </c>
      <c r="N21" s="49">
        <f t="shared" si="2"/>
        <v>-3366.1009999999951</v>
      </c>
      <c r="P21" s="59">
        <f t="shared" si="4"/>
        <v>-6.8709015764195414E-2</v>
      </c>
      <c r="R21" s="59">
        <f t="shared" si="3"/>
        <v>2.7017504506365142E-2</v>
      </c>
    </row>
    <row r="22" spans="3:18" ht="13" x14ac:dyDescent="0.35">
      <c r="C22" s="31" t="s">
        <v>188</v>
      </c>
      <c r="D22" s="32">
        <f>'DATA-ELE'!AE95</f>
        <v>54990.457000000002</v>
      </c>
      <c r="E22" s="32">
        <f>'DATA-ELE'!AF95</f>
        <v>55765.803999999996</v>
      </c>
      <c r="F22" s="32">
        <f>'DATA-ELE'!AG95</f>
        <v>54891.94</v>
      </c>
      <c r="G22" s="32">
        <f>'DATA-ELE'!AH95</f>
        <v>54389.245000000003</v>
      </c>
      <c r="H22" s="32">
        <f>'DATA-ELE'!AI95</f>
        <v>51783.027999999998</v>
      </c>
      <c r="I22" s="131">
        <f>'DATA-ELE'!AJ95</f>
        <v>51580.817999999999</v>
      </c>
      <c r="K22" s="28">
        <f t="shared" si="0"/>
        <v>-3.9049473893261188E-3</v>
      </c>
      <c r="L22" s="29">
        <f t="shared" si="1"/>
        <v>-6.5836797104726785E-2</v>
      </c>
      <c r="N22" s="49">
        <f t="shared" si="2"/>
        <v>-202.20999999999913</v>
      </c>
      <c r="P22" s="59">
        <f t="shared" si="4"/>
        <v>-6.2004194655083555E-2</v>
      </c>
      <c r="R22" s="59">
        <f t="shared" si="3"/>
        <v>1.8573317203903039E-2</v>
      </c>
    </row>
    <row r="23" spans="3:18" ht="13" x14ac:dyDescent="0.35">
      <c r="C23" s="31" t="s">
        <v>189</v>
      </c>
      <c r="D23" s="32">
        <f>'DATA-ELE'!AE96</f>
        <v>2940.1979999999999</v>
      </c>
      <c r="E23" s="32">
        <f>'DATA-ELE'!AF96</f>
        <v>2638.8679999999999</v>
      </c>
      <c r="F23" s="32">
        <f>'DATA-ELE'!AG96</f>
        <v>2511.2159999999999</v>
      </c>
      <c r="G23" s="32">
        <f>'DATA-ELE'!AH96</f>
        <v>2467.3240000000001</v>
      </c>
      <c r="H23" s="32">
        <f>'DATA-ELE'!AI96</f>
        <v>2416.123</v>
      </c>
      <c r="I23" s="131">
        <f>'DATA-ELE'!AJ96</f>
        <v>2287.6779999999999</v>
      </c>
      <c r="K23" s="28">
        <f t="shared" si="0"/>
        <v>-5.3161614702562754E-2</v>
      </c>
      <c r="L23" s="29">
        <f t="shared" si="1"/>
        <v>-0.15169409422316804</v>
      </c>
      <c r="N23" s="49">
        <f t="shared" si="2"/>
        <v>-128.44500000000016</v>
      </c>
      <c r="P23" s="59">
        <f t="shared" si="4"/>
        <v>-0.22193063188261475</v>
      </c>
      <c r="R23" s="59">
        <f t="shared" si="3"/>
        <v>8.2375136343108195E-4</v>
      </c>
    </row>
    <row r="24" spans="3:18" ht="13" x14ac:dyDescent="0.35">
      <c r="C24" s="31" t="s">
        <v>190</v>
      </c>
      <c r="D24" s="32">
        <f>'DATA-ELE'!AE97</f>
        <v>19002.93</v>
      </c>
      <c r="E24" s="32">
        <f>'DATA-ELE'!AF97</f>
        <v>18866.169999999998</v>
      </c>
      <c r="F24" s="32">
        <f>'DATA-ELE'!AG97</f>
        <v>19561.848000000002</v>
      </c>
      <c r="G24" s="32">
        <f>'DATA-ELE'!AH97</f>
        <v>19377.806</v>
      </c>
      <c r="H24" s="32">
        <f>'DATA-ELE'!AI97</f>
        <v>18592.831999999999</v>
      </c>
      <c r="I24" s="131">
        <f>'DATA-ELE'!AJ97</f>
        <v>19518.772000000001</v>
      </c>
      <c r="K24" s="28">
        <f t="shared" si="0"/>
        <v>4.9800912523708218E-2</v>
      </c>
      <c r="L24" s="29">
        <f t="shared" si="1"/>
        <v>1.9595149291284475E-2</v>
      </c>
      <c r="N24" s="49">
        <f t="shared" si="2"/>
        <v>925.94000000000233</v>
      </c>
      <c r="P24" s="59">
        <f t="shared" si="4"/>
        <v>2.7145392842051308E-2</v>
      </c>
      <c r="R24" s="59">
        <f t="shared" si="3"/>
        <v>7.0283558470643276E-3</v>
      </c>
    </row>
    <row r="25" spans="3:18" ht="13" x14ac:dyDescent="0.35">
      <c r="C25" s="31" t="s">
        <v>191</v>
      </c>
      <c r="D25" s="32">
        <f>'DATA-ELE'!AE98</f>
        <v>18591.832999999999</v>
      </c>
      <c r="E25" s="32">
        <f>'DATA-ELE'!AF98</f>
        <v>18339.987000000001</v>
      </c>
      <c r="F25" s="32">
        <f>'DATA-ELE'!AG98</f>
        <v>18775.844000000001</v>
      </c>
      <c r="G25" s="32">
        <f>'DATA-ELE'!AH98</f>
        <v>18580.909</v>
      </c>
      <c r="H25" s="32">
        <f>'DATA-ELE'!AI98</f>
        <v>17819.195</v>
      </c>
      <c r="I25" s="131">
        <f>'DATA-ELE'!AJ98</f>
        <v>18465.331999999999</v>
      </c>
      <c r="K25" s="28">
        <f t="shared" si="0"/>
        <v>3.6260728949876642E-2</v>
      </c>
      <c r="L25" s="29">
        <f t="shared" si="1"/>
        <v>-5.5947059636176633E-3</v>
      </c>
      <c r="N25" s="49">
        <f t="shared" si="2"/>
        <v>646.13699999999881</v>
      </c>
      <c r="P25" s="59">
        <f t="shared" si="4"/>
        <v>-6.804116624756662E-3</v>
      </c>
      <c r="R25" s="59">
        <f t="shared" si="3"/>
        <v>6.6490312059684911E-3</v>
      </c>
    </row>
    <row r="26" spans="3:18" ht="13" x14ac:dyDescent="0.35">
      <c r="C26" s="31" t="s">
        <v>158</v>
      </c>
      <c r="D26" s="32">
        <f>'DATA-ELE'!AE17</f>
        <v>345641.67499999999</v>
      </c>
      <c r="E26" s="32">
        <f>'DATA-ELE'!AF17</f>
        <v>375485.65</v>
      </c>
      <c r="F26" s="32">
        <f>'DATA-ELE'!AG17</f>
        <v>374977.57799999998</v>
      </c>
      <c r="G26" s="32">
        <f>'DATA-ELE'!AH17</f>
        <v>307441.55099999998</v>
      </c>
      <c r="H26" s="32">
        <f>'DATA-ELE'!AI17</f>
        <v>361023.54200000002</v>
      </c>
      <c r="I26" s="131">
        <f>'DATA-ELE'!AJ17</f>
        <v>402894.20699999999</v>
      </c>
      <c r="K26" s="28">
        <f t="shared" si="0"/>
        <v>0.11597765832124041</v>
      </c>
      <c r="L26" s="29">
        <f t="shared" si="1"/>
        <v>0.10270706543860797</v>
      </c>
      <c r="N26" s="49">
        <f t="shared" si="2"/>
        <v>41870.664999999979</v>
      </c>
      <c r="P26" s="59">
        <f t="shared" si="4"/>
        <v>0.16564128732451033</v>
      </c>
      <c r="R26" s="59"/>
    </row>
    <row r="27" spans="3:18" ht="13" x14ac:dyDescent="0.35">
      <c r="C27" s="31" t="s">
        <v>193</v>
      </c>
      <c r="D27" s="32">
        <f>'DATA-ELE'!AE18</f>
        <v>306476.88199999998</v>
      </c>
      <c r="E27" s="32">
        <f>'DATA-ELE'!AF18</f>
        <v>331707.81199999998</v>
      </c>
      <c r="F27" s="32">
        <f>'DATA-ELE'!AG18</f>
        <v>330886.28000000003</v>
      </c>
      <c r="G27" s="32">
        <f>'DATA-ELE'!AH18</f>
        <v>265425.67599999998</v>
      </c>
      <c r="H27" s="32">
        <f>'DATA-ELE'!AI18</f>
        <v>315193.81199999998</v>
      </c>
      <c r="I27" s="131">
        <f>'DATA-ELE'!AJ18</f>
        <v>350395.84299999999</v>
      </c>
      <c r="K27" s="28">
        <f t="shared" si="0"/>
        <v>0.11168376300483973</v>
      </c>
      <c r="L27" s="29">
        <f t="shared" si="1"/>
        <v>8.473740025568044E-2</v>
      </c>
      <c r="N27" s="49">
        <f t="shared" si="2"/>
        <v>35202.031000000017</v>
      </c>
      <c r="P27" s="59">
        <f t="shared" si="4"/>
        <v>0.14330268799850288</v>
      </c>
      <c r="R27" s="59">
        <f t="shared" si="3"/>
        <v>0.12617118904488889</v>
      </c>
    </row>
    <row r="28" spans="3:18" ht="13" x14ac:dyDescent="0.35">
      <c r="C28" s="31" t="s">
        <v>194</v>
      </c>
      <c r="D28" s="32">
        <f>'DATA-ELE'!AE20</f>
        <v>23275.739000000001</v>
      </c>
      <c r="E28" s="32">
        <f>'DATA-ELE'!AF20</f>
        <v>25837.969000000001</v>
      </c>
      <c r="F28" s="32">
        <f>'DATA-ELE'!AG20</f>
        <v>27914.648000000001</v>
      </c>
      <c r="G28" s="32">
        <f>'DATA-ELE'!AH20</f>
        <v>23336.528999999999</v>
      </c>
      <c r="H28" s="32">
        <f>'DATA-ELE'!AI20</f>
        <v>27543.956999999999</v>
      </c>
      <c r="I28" s="131">
        <f>'DATA-ELE'!AJ20</f>
        <v>32939.65</v>
      </c>
      <c r="K28" s="28">
        <f t="shared" si="0"/>
        <v>0.19589389425782233</v>
      </c>
      <c r="L28" s="29">
        <f t="shared" si="1"/>
        <v>0.28289055007223585</v>
      </c>
      <c r="N28" s="49">
        <f t="shared" si="2"/>
        <v>5395.6930000000029</v>
      </c>
      <c r="P28" s="59">
        <f t="shared" si="4"/>
        <v>0.4151924456619831</v>
      </c>
      <c r="R28" s="59">
        <f>(I28-I29)/I39</f>
        <v>6.5728645291454777E-3</v>
      </c>
    </row>
    <row r="29" spans="3:18" ht="13" x14ac:dyDescent="0.35">
      <c r="C29" s="31" t="s">
        <v>195</v>
      </c>
      <c r="D29" s="32">
        <f>'DATA-ELE'!AE21</f>
        <v>9494.1299999999992</v>
      </c>
      <c r="E29" s="32">
        <f>'DATA-ELE'!AF21</f>
        <v>10366.528</v>
      </c>
      <c r="F29" s="32">
        <f>'DATA-ELE'!AG21</f>
        <v>10354.549999999999</v>
      </c>
      <c r="G29" s="32">
        <f>'DATA-ELE'!AH21</f>
        <v>12606.736999999999</v>
      </c>
      <c r="H29" s="32">
        <f>'DATA-ELE'!AI21</f>
        <v>12884.156999999999</v>
      </c>
      <c r="I29" s="131">
        <f>'DATA-ELE'!AJ21</f>
        <v>14685.843999999999</v>
      </c>
      <c r="K29" s="28">
        <f t="shared" si="0"/>
        <v>0.13983739875259205</v>
      </c>
      <c r="L29" s="29">
        <f t="shared" si="1"/>
        <v>0.45812439881267752</v>
      </c>
      <c r="N29" s="49">
        <f t="shared" si="2"/>
        <v>1801.6869999999999</v>
      </c>
      <c r="P29" s="59">
        <f t="shared" si="4"/>
        <v>0.54683409643642977</v>
      </c>
      <c r="R29" s="59"/>
    </row>
    <row r="30" spans="3:18" ht="13" x14ac:dyDescent="0.35">
      <c r="C30" s="31" t="s">
        <v>196</v>
      </c>
      <c r="D30" s="32">
        <f>'DATA-ELE'!AE22</f>
        <v>15889.054</v>
      </c>
      <c r="E30" s="32">
        <f>'DATA-ELE'!AF22</f>
        <v>17939.868999999999</v>
      </c>
      <c r="F30" s="32">
        <f>'DATA-ELE'!AG22</f>
        <v>16176.65</v>
      </c>
      <c r="G30" s="32">
        <f>'DATA-ELE'!AH22</f>
        <v>18678.652999999998</v>
      </c>
      <c r="H30" s="32">
        <f>'DATA-ELE'!AI22</f>
        <v>18285.773000000001</v>
      </c>
      <c r="I30" s="131">
        <f>'DATA-ELE'!AJ22</f>
        <v>19558.710999999999</v>
      </c>
      <c r="K30" s="28">
        <f t="shared" si="0"/>
        <v>6.9613573350166824E-2</v>
      </c>
      <c r="L30" s="29">
        <f t="shared" si="1"/>
        <v>0.1733918737417528</v>
      </c>
      <c r="N30" s="49">
        <f t="shared" si="2"/>
        <v>1272.9379999999983</v>
      </c>
      <c r="P30" s="59">
        <f t="shared" si="4"/>
        <v>0.23095503357216862</v>
      </c>
      <c r="R30" s="59"/>
    </row>
    <row r="31" spans="3:18" ht="13" x14ac:dyDescent="0.35">
      <c r="C31" s="31" t="s">
        <v>164</v>
      </c>
      <c r="D31" s="32">
        <f>'DATA-ELE'!AE23</f>
        <v>6725.8059999999996</v>
      </c>
      <c r="E31" s="32">
        <f>'DATA-ELE'!AF23</f>
        <v>6717.2560000000003</v>
      </c>
      <c r="F31" s="32">
        <f>'DATA-ELE'!AG23</f>
        <v>6538.375</v>
      </c>
      <c r="G31" s="32">
        <f>'DATA-ELE'!AH23</f>
        <v>6427.79</v>
      </c>
      <c r="H31" s="32">
        <f>'DATA-ELE'!AI23</f>
        <v>6260.1220000000003</v>
      </c>
      <c r="I31" s="131">
        <f>'DATA-ELE'!AJ23</f>
        <v>6204.12</v>
      </c>
      <c r="K31" s="28">
        <f t="shared" si="0"/>
        <v>-8.9458320460847895E-3</v>
      </c>
      <c r="L31" s="29">
        <f t="shared" si="1"/>
        <v>-6.8517444466081101E-2</v>
      </c>
      <c r="N31" s="49">
        <f t="shared" si="2"/>
        <v>-56.002000000000407</v>
      </c>
      <c r="P31" s="59">
        <f t="shared" si="4"/>
        <v>-7.7564830148238006E-2</v>
      </c>
      <c r="R31" s="59">
        <f t="shared" si="3"/>
        <v>2.2339911075291382E-3</v>
      </c>
    </row>
    <row r="32" spans="3:18" ht="13" x14ac:dyDescent="0.35">
      <c r="C32" s="31" t="s">
        <v>165</v>
      </c>
      <c r="D32" s="32">
        <f>'DATA-ELE'!AE24</f>
        <v>367283.27299999999</v>
      </c>
      <c r="E32" s="32">
        <f>'DATA-ELE'!AF24</f>
        <v>398173.54599999997</v>
      </c>
      <c r="F32" s="32">
        <f>'DATA-ELE'!AG24</f>
        <v>386958.788</v>
      </c>
      <c r="G32" s="32">
        <f>'DATA-ELE'!AH24</f>
        <v>421853.049</v>
      </c>
      <c r="H32" s="32">
        <f>'DATA-ELE'!AI24</f>
        <v>478096.60700000002</v>
      </c>
      <c r="I32" s="131">
        <f>'DATA-ELE'!AJ24</f>
        <v>487567.03700000001</v>
      </c>
      <c r="K32" s="28">
        <f t="shared" si="0"/>
        <v>1.9808611609745119E-2</v>
      </c>
      <c r="L32" s="29">
        <f t="shared" si="1"/>
        <v>0.26924791899316936</v>
      </c>
      <c r="N32" s="49">
        <f t="shared" si="2"/>
        <v>9470.429999999993</v>
      </c>
      <c r="P32" s="59">
        <f t="shared" si="4"/>
        <v>0.32749589442914817</v>
      </c>
      <c r="R32" s="59">
        <f>I32/$I$39</f>
        <v>0.17556404856487792</v>
      </c>
    </row>
    <row r="33" spans="2:18" ht="13" x14ac:dyDescent="0.35">
      <c r="C33" s="31" t="s">
        <v>168</v>
      </c>
      <c r="D33" s="32">
        <f>'DATA-ELE'!AE27</f>
        <v>5683</v>
      </c>
      <c r="E33" s="32">
        <f>'DATA-ELE'!AF27</f>
        <v>4992</v>
      </c>
      <c r="F33" s="32">
        <f>'DATA-ELE'!AG27</f>
        <v>5176</v>
      </c>
      <c r="G33" s="32">
        <f>'DATA-ELE'!AH27</f>
        <v>4536</v>
      </c>
      <c r="H33" s="32">
        <f>'DATA-ELE'!AI27</f>
        <v>5165</v>
      </c>
      <c r="I33" s="131">
        <f>'DATA-ELE'!AJ27</f>
        <v>4540.03</v>
      </c>
      <c r="K33" s="28">
        <f t="shared" si="0"/>
        <v>-0.12100096805421112</v>
      </c>
      <c r="L33" s="29">
        <f t="shared" si="1"/>
        <v>-0.14074253990284535</v>
      </c>
      <c r="N33" s="49">
        <f t="shared" si="2"/>
        <v>-624.97000000000025</v>
      </c>
      <c r="P33" s="59">
        <f t="shared" si="4"/>
        <v>-0.20112088685553409</v>
      </c>
      <c r="R33" s="59">
        <f t="shared" si="3"/>
        <v>1.6347824748579193E-3</v>
      </c>
    </row>
    <row r="34" spans="2:18" ht="13" x14ac:dyDescent="0.35">
      <c r="C34" s="31" t="s">
        <v>169</v>
      </c>
      <c r="D34" s="32">
        <f>'DATA-ELE'!AE28</f>
        <v>118010.742</v>
      </c>
      <c r="E34" s="32">
        <f>'DATA-ELE'!AF28</f>
        <v>139804.459</v>
      </c>
      <c r="F34" s="32">
        <f>'DATA-ELE'!AG28</f>
        <v>159074.432</v>
      </c>
      <c r="G34" s="32">
        <f>'DATA-ELE'!AH28</f>
        <v>206036.96</v>
      </c>
      <c r="H34" s="32">
        <f>'DATA-ELE'!AI28</f>
        <v>246974.42199999999</v>
      </c>
      <c r="I34" s="131">
        <f>'DATA-ELE'!AJ28</f>
        <v>295280.45199999999</v>
      </c>
      <c r="K34" s="28">
        <f t="shared" si="0"/>
        <v>0.19559122604202317</v>
      </c>
      <c r="L34" s="29">
        <f t="shared" si="1"/>
        <v>1.1248821891428515</v>
      </c>
      <c r="N34" s="49">
        <f t="shared" si="2"/>
        <v>48306.03</v>
      </c>
      <c r="P34" s="59">
        <f>I34/D34-1</f>
        <v>1.502148931493033</v>
      </c>
      <c r="R34" s="59">
        <f t="shared" si="3"/>
        <v>0.10632513619903944</v>
      </c>
    </row>
    <row r="35" spans="2:18" ht="13" x14ac:dyDescent="0.35">
      <c r="C35" s="31" t="s">
        <v>173</v>
      </c>
      <c r="D35" s="32">
        <f>'DATA-ELE'!AE33</f>
        <v>498.964</v>
      </c>
      <c r="E35" s="32">
        <f>'DATA-ELE'!AF33</f>
        <v>508.76400000000001</v>
      </c>
      <c r="F35" s="32">
        <f>'DATA-ELE'!AG33</f>
        <v>502.791</v>
      </c>
      <c r="G35" s="32">
        <f>'DATA-ELE'!AH33</f>
        <v>513.47799999999995</v>
      </c>
      <c r="H35" s="32">
        <f>'DATA-ELE'!AI33</f>
        <v>461.27699999999999</v>
      </c>
      <c r="I35" s="131">
        <f>'DATA-ELE'!AJ33</f>
        <v>467.65</v>
      </c>
      <c r="K35" s="28">
        <f t="shared" si="0"/>
        <v>1.3815993426943063E-2</v>
      </c>
      <c r="L35" s="29">
        <f t="shared" si="1"/>
        <v>-7.1213271729782979E-2</v>
      </c>
      <c r="N35" s="49">
        <f t="shared" si="2"/>
        <v>6.3729999999999905</v>
      </c>
      <c r="P35" s="59">
        <f t="shared" si="4"/>
        <v>-6.2758034647790284E-2</v>
      </c>
      <c r="R35" s="59">
        <f t="shared" si="3"/>
        <v>1.6839228471338425E-4</v>
      </c>
    </row>
    <row r="36" spans="2:18" ht="13" x14ac:dyDescent="0.35">
      <c r="C36" s="31" t="s">
        <v>181</v>
      </c>
      <c r="D36" s="32">
        <f>'DATA-ELE'!AE35</f>
        <v>765337.85600000003</v>
      </c>
      <c r="E36" s="32">
        <f>'DATA-ELE'!AF35</f>
        <v>683512.14500000002</v>
      </c>
      <c r="F36" s="32">
        <f>'DATA-ELE'!AG35</f>
        <v>731700.79299999995</v>
      </c>
      <c r="G36" s="32">
        <f>'DATA-ELE'!AH35</f>
        <v>609255.49600000004</v>
      </c>
      <c r="H36" s="32">
        <f>'DATA-ELE'!AI35</f>
        <v>619601.31099999999</v>
      </c>
      <c r="I36" s="131">
        <f>'DATA-ELE'!AJ35</f>
        <v>649262.86199999996</v>
      </c>
      <c r="K36" s="28">
        <f t="shared" si="0"/>
        <v>4.7871995222424468E-2</v>
      </c>
      <c r="L36" s="29">
        <f t="shared" si="1"/>
        <v>-0.10674468516875113</v>
      </c>
      <c r="N36" s="49">
        <f t="shared" si="2"/>
        <v>29661.550999999978</v>
      </c>
      <c r="P36" s="59">
        <f t="shared" si="4"/>
        <v>-0.15166503667629905</v>
      </c>
      <c r="R36" s="59">
        <f t="shared" si="3"/>
        <v>0.23378778298242428</v>
      </c>
    </row>
    <row r="37" spans="2:18" ht="13" x14ac:dyDescent="0.35">
      <c r="C37" s="31" t="s">
        <v>192</v>
      </c>
      <c r="D37" s="32">
        <f>'DATA-ELE'!AE37</f>
        <v>1038.4970000000001</v>
      </c>
      <c r="E37" s="32">
        <f>'DATA-ELE'!AF37</f>
        <v>1088.7550000000001</v>
      </c>
      <c r="F37" s="32">
        <f>'DATA-ELE'!AG37</f>
        <v>1104.548</v>
      </c>
      <c r="G37" s="32">
        <f>'DATA-ELE'!AH37</f>
        <v>829.41399999999999</v>
      </c>
      <c r="H37" s="32">
        <f>'DATA-ELE'!AI37</f>
        <v>677.43700000000001</v>
      </c>
      <c r="I37" s="131">
        <f>'DATA-ELE'!AJ37</f>
        <v>607.15800000000002</v>
      </c>
      <c r="K37" s="28">
        <f t="shared" si="0"/>
        <v>-0.10374248823137799</v>
      </c>
      <c r="L37" s="29">
        <f t="shared" si="1"/>
        <v>-0.4363902469212203</v>
      </c>
      <c r="N37" s="49">
        <f t="shared" si="2"/>
        <v>-70.278999999999996</v>
      </c>
      <c r="P37" s="59">
        <f t="shared" si="4"/>
        <v>-0.41534929807211773</v>
      </c>
      <c r="R37" s="59">
        <f t="shared" si="3"/>
        <v>2.1862658569872547E-4</v>
      </c>
    </row>
    <row r="38" spans="2:18" ht="13" x14ac:dyDescent="0.35">
      <c r="C38" s="33" t="s">
        <v>200</v>
      </c>
      <c r="D38" s="34">
        <f t="shared" ref="D38:H38" si="5">D43-SUM(D4:D26,D31:D37)+D29+D30</f>
        <v>20552.82900000002</v>
      </c>
      <c r="E38" s="34">
        <f t="shared" si="5"/>
        <v>20191.662000000128</v>
      </c>
      <c r="F38" s="34">
        <f t="shared" si="5"/>
        <v>16461.35999999968</v>
      </c>
      <c r="G38" s="34">
        <f t="shared" si="5"/>
        <v>19627.750999999567</v>
      </c>
      <c r="H38" s="34">
        <f t="shared" si="5"/>
        <v>19991.971000000201</v>
      </c>
      <c r="I38" s="131">
        <f t="shared" ref="I38" si="6">I43-SUM(I4:I26,I31:I37)+I29+I30</f>
        <v>18107.457000000701</v>
      </c>
      <c r="K38" s="28">
        <f t="shared" si="0"/>
        <v>-9.4263542098949715E-2</v>
      </c>
      <c r="L38" s="29">
        <f t="shared" si="1"/>
        <v>-5.0405333538307784E-2</v>
      </c>
      <c r="N38" s="49">
        <f t="shared" si="2"/>
        <v>-1884.5139999995008</v>
      </c>
      <c r="P38" s="59">
        <f t="shared" si="4"/>
        <v>-0.11897982511309357</v>
      </c>
      <c r="R38" s="59">
        <f t="shared" si="3"/>
        <v>6.520166908113933E-3</v>
      </c>
    </row>
    <row r="39" spans="2:18" ht="13" x14ac:dyDescent="0.35">
      <c r="C39" s="55" t="s">
        <v>199</v>
      </c>
      <c r="D39" s="56">
        <f>SUM(D4:D26,D31:D38)-D29-D30</f>
        <v>2882496.0320000001</v>
      </c>
      <c r="E39" s="56">
        <f t="shared" ref="E39:I39" si="7">SUM(E4:E26,E31:E38)-E29-E30</f>
        <v>2762006.8110000002</v>
      </c>
      <c r="F39" s="56">
        <f t="shared" si="7"/>
        <v>2890106.3890000004</v>
      </c>
      <c r="G39" s="56">
        <f t="shared" si="7"/>
        <v>2792345.2379999999</v>
      </c>
      <c r="H39" s="56">
        <f>SUM(H4:H26,H31:H38)-H29-H30</f>
        <v>2718396.9579999996</v>
      </c>
      <c r="I39" s="132">
        <f t="shared" si="7"/>
        <v>2777146.2379999999</v>
      </c>
      <c r="K39" s="28">
        <f t="shared" si="0"/>
        <v>2.1611736956630434E-2</v>
      </c>
      <c r="L39" s="29">
        <f t="shared" si="1"/>
        <v>-2.3805485696782203E-2</v>
      </c>
    </row>
    <row r="40" spans="2:18" ht="15.5" customHeight="1" x14ac:dyDescent="0.25">
      <c r="C40" s="39" t="s">
        <v>302</v>
      </c>
    </row>
    <row r="41" spans="2:18" ht="16" customHeight="1" x14ac:dyDescent="0.3">
      <c r="C41" s="41" t="s">
        <v>267</v>
      </c>
      <c r="K41" s="49"/>
    </row>
    <row r="43" spans="2:18" ht="13" x14ac:dyDescent="0.35">
      <c r="C43" s="62" t="s">
        <v>199</v>
      </c>
      <c r="D43" s="63">
        <v>2882496.0320000001</v>
      </c>
      <c r="E43" s="63">
        <v>2762006.8110000002</v>
      </c>
      <c r="F43" s="63">
        <v>2890106.389</v>
      </c>
      <c r="G43" s="63">
        <v>2792345.2379999999</v>
      </c>
      <c r="H43" s="63">
        <v>2718396.9579999996</v>
      </c>
      <c r="I43" s="64">
        <v>2777146.2379999999</v>
      </c>
    </row>
    <row r="48" spans="2:18" ht="15.5" x14ac:dyDescent="0.35">
      <c r="B48" s="1" t="s">
        <v>249</v>
      </c>
    </row>
    <row r="49" spans="2:12" ht="26" x14ac:dyDescent="0.35">
      <c r="B49" s="21"/>
      <c r="C49" s="21"/>
      <c r="D49" s="21">
        <v>2019</v>
      </c>
      <c r="E49" s="21">
        <v>2020</v>
      </c>
      <c r="F49" s="21">
        <v>2021</v>
      </c>
      <c r="G49" s="21">
        <v>2022</v>
      </c>
      <c r="H49" s="21">
        <v>2023</v>
      </c>
      <c r="I49" s="128" t="s">
        <v>303</v>
      </c>
      <c r="K49" s="23" t="s">
        <v>304</v>
      </c>
      <c r="L49" s="24" t="s">
        <v>305</v>
      </c>
    </row>
    <row r="50" spans="2:12" ht="13" x14ac:dyDescent="0.35">
      <c r="B50" s="55"/>
      <c r="C50" s="55" t="s">
        <v>156</v>
      </c>
      <c r="D50" s="56">
        <f>'DATA-ELE'!AE131</f>
        <v>2907879.216</v>
      </c>
      <c r="E50" s="56">
        <f>'DATA-ELE'!AF131</f>
        <v>2790313.2080000001</v>
      </c>
      <c r="F50" s="56">
        <f>'DATA-ELE'!AG131</f>
        <v>2916637.5890000002</v>
      </c>
      <c r="G50" s="56">
        <f>'DATA-ELE'!AH131</f>
        <v>2823630.628</v>
      </c>
      <c r="H50" s="56">
        <f>'DATA-ELE'!AI131</f>
        <v>2749566.8879999998</v>
      </c>
      <c r="I50" s="132">
        <f>'DATA-ELE'!AJ131</f>
        <v>2811390.7930000001</v>
      </c>
      <c r="K50" s="28">
        <f>I50/H50-1</f>
        <v>2.2484961275108351E-2</v>
      </c>
      <c r="L50" s="29">
        <f>I50/AVERAGE(D50:F50)-1</f>
        <v>-2.0970539607558569E-2</v>
      </c>
    </row>
    <row r="51" spans="2:12" ht="13" x14ac:dyDescent="0.35">
      <c r="B51" s="20" t="s">
        <v>112</v>
      </c>
      <c r="C51" s="20" t="s">
        <v>212</v>
      </c>
      <c r="D51" s="65">
        <f>'DATA-ELE'!AE128</f>
        <v>132054.264</v>
      </c>
      <c r="E51" s="65">
        <f>'DATA-ELE'!AF128</f>
        <v>122992.57399999999</v>
      </c>
      <c r="F51" s="65">
        <f>'DATA-ELE'!AG128</f>
        <v>127981.87</v>
      </c>
      <c r="G51" s="65">
        <f>'DATA-ELE'!AH128</f>
        <v>125253.931</v>
      </c>
      <c r="H51" s="65">
        <f>'DATA-ELE'!AI128</f>
        <v>112591.098</v>
      </c>
      <c r="I51" s="133">
        <f>'DATA-ELE'!AJ128</f>
        <v>110310.959</v>
      </c>
      <c r="K51" s="28">
        <f t="shared" ref="K51:K52" si="8">I51/H51-1</f>
        <v>-2.0251503364857482E-2</v>
      </c>
      <c r="L51" s="29">
        <f t="shared" ref="L51:L52" si="9">I51/AVERAGE(D51:F51)-1</f>
        <v>-0.1360102517433236</v>
      </c>
    </row>
    <row r="52" spans="2:12" ht="13" x14ac:dyDescent="0.35">
      <c r="B52" s="66"/>
      <c r="C52" s="66" t="s">
        <v>218</v>
      </c>
      <c r="D52" s="56">
        <f>'DATA-ELE'!AE132</f>
        <v>2775824.952</v>
      </c>
      <c r="E52" s="56">
        <f>'DATA-ELE'!AF132</f>
        <v>2667320.6340000001</v>
      </c>
      <c r="F52" s="56">
        <f>'DATA-ELE'!AG132</f>
        <v>2788655.719</v>
      </c>
      <c r="G52" s="56">
        <f>'DATA-ELE'!AH132</f>
        <v>2698376.6970000002</v>
      </c>
      <c r="H52" s="56">
        <f>'DATA-ELE'!AI132</f>
        <v>2636975.79</v>
      </c>
      <c r="I52" s="132">
        <f>'DATA-ELE'!AJ132</f>
        <v>2701079.835</v>
      </c>
      <c r="K52" s="28">
        <f t="shared" si="8"/>
        <v>2.4309682797656551E-2</v>
      </c>
      <c r="L52" s="29">
        <f t="shared" si="9"/>
        <v>-1.5617699606271018E-2</v>
      </c>
    </row>
    <row r="53" spans="2:12" ht="13" x14ac:dyDescent="0.35">
      <c r="B53" s="26" t="s">
        <v>111</v>
      </c>
      <c r="C53" s="26" t="s">
        <v>49</v>
      </c>
      <c r="D53" s="57">
        <f>'DATA-ELE'!AE121</f>
        <v>369432.44799999997</v>
      </c>
      <c r="E53" s="57">
        <f>'DATA-ELE'!AF121</f>
        <v>381008.85</v>
      </c>
      <c r="F53" s="57">
        <f>'DATA-ELE'!AG121</f>
        <v>401425.821</v>
      </c>
      <c r="G53" s="57">
        <f>'DATA-ELE'!AH121</f>
        <v>421942.81099999999</v>
      </c>
      <c r="H53" s="57">
        <f>'DATA-ELE'!AI121</f>
        <v>406835.68400000001</v>
      </c>
      <c r="I53" s="133">
        <f>'DATA-ELE'!AJ121</f>
        <v>437277.304</v>
      </c>
      <c r="K53" s="28">
        <f t="shared" ref="K53:K61" si="10">I53/H53-1</f>
        <v>7.4825343983346393E-2</v>
      </c>
      <c r="L53" s="29">
        <f t="shared" ref="L53:L61" si="11">I53/AVERAGE(D53:F53)-1</f>
        <v>0.13887434614756122</v>
      </c>
    </row>
    <row r="54" spans="2:12" ht="13" x14ac:dyDescent="0.35">
      <c r="B54" s="31" t="s">
        <v>112</v>
      </c>
      <c r="C54" s="31" t="s">
        <v>50</v>
      </c>
      <c r="D54" s="57">
        <f>'DATA-ELE'!AE122</f>
        <v>366487.72499999998</v>
      </c>
      <c r="E54" s="57">
        <f>'DATA-ELE'!AF122</f>
        <v>367046.55300000001</v>
      </c>
      <c r="F54" s="57">
        <f>'DATA-ELE'!AG122</f>
        <v>394108.40100000001</v>
      </c>
      <c r="G54" s="57">
        <f>'DATA-ELE'!AH122</f>
        <v>408980.89199999999</v>
      </c>
      <c r="H54" s="57">
        <f>'DATA-ELE'!AI122</f>
        <v>407281.11099999998</v>
      </c>
      <c r="I54" s="133">
        <f>'DATA-ELE'!AJ122</f>
        <v>449477.57199999999</v>
      </c>
      <c r="K54" s="28">
        <f t="shared" si="10"/>
        <v>0.10360524920096292</v>
      </c>
      <c r="L54" s="29">
        <f t="shared" si="11"/>
        <v>0.19579787206688382</v>
      </c>
    </row>
    <row r="55" spans="2:12" ht="13" x14ac:dyDescent="0.35">
      <c r="B55" s="43" t="s">
        <v>112</v>
      </c>
      <c r="C55" s="43" t="s">
        <v>219</v>
      </c>
      <c r="D55" s="57">
        <f>'DATA-ELE'!AE126</f>
        <v>21597.645</v>
      </c>
      <c r="E55" s="57">
        <f>'DATA-ELE'!AF126</f>
        <v>24195.83</v>
      </c>
      <c r="F55" s="57">
        <f>'DATA-ELE'!AG126</f>
        <v>22919.438999999998</v>
      </c>
      <c r="G55" s="57">
        <f>'DATA-ELE'!AH126</f>
        <v>25869.677</v>
      </c>
      <c r="H55" s="57">
        <f>'DATA-ELE'!AI126</f>
        <v>25575.451000000001</v>
      </c>
      <c r="I55" s="133">
        <f>'DATA-ELE'!AJ126</f>
        <v>26067.201000000001</v>
      </c>
      <c r="K55" s="28">
        <f t="shared" si="10"/>
        <v>1.9227422421602691E-2</v>
      </c>
      <c r="L55" s="29">
        <f t="shared" si="11"/>
        <v>0.13809178577406866</v>
      </c>
    </row>
    <row r="56" spans="2:12" ht="13" x14ac:dyDescent="0.35">
      <c r="B56" s="43" t="s">
        <v>112</v>
      </c>
      <c r="C56" s="43" t="s">
        <v>219</v>
      </c>
      <c r="D56" s="57">
        <f>'DATA-ELE'!AE127</f>
        <v>13406.766</v>
      </c>
      <c r="E56" s="57">
        <f>'DATA-ELE'!AF127</f>
        <v>14552.349</v>
      </c>
      <c r="F56" s="57">
        <f>'DATA-ELE'!AG127</f>
        <v>14526.089</v>
      </c>
      <c r="G56" s="57">
        <f>'DATA-ELE'!AH127</f>
        <v>17513.787</v>
      </c>
      <c r="H56" s="57">
        <f>'DATA-ELE'!AI127</f>
        <v>17857.485000000001</v>
      </c>
      <c r="I56" s="133">
        <f>'DATA-ELE'!AJ127</f>
        <v>20187.417000000001</v>
      </c>
      <c r="K56" s="28">
        <f t="shared" si="10"/>
        <v>0.13047369212405902</v>
      </c>
      <c r="L56" s="29">
        <f t="shared" si="11"/>
        <v>0.42549041308593005</v>
      </c>
    </row>
    <row r="57" spans="2:12" ht="13" x14ac:dyDescent="0.35">
      <c r="B57" s="45" t="s">
        <v>112</v>
      </c>
      <c r="C57" s="45" t="s">
        <v>220</v>
      </c>
      <c r="D57" s="57">
        <f>'DATA-ELE'!AE125</f>
        <v>687.33500000000004</v>
      </c>
      <c r="E57" s="57">
        <f>'DATA-ELE'!AF125</f>
        <v>1220.556</v>
      </c>
      <c r="F57" s="57">
        <f>'DATA-ELE'!AG125</f>
        <v>1316.0170000000001</v>
      </c>
      <c r="G57" s="57">
        <f>'DATA-ELE'!AH125</f>
        <v>1444.931</v>
      </c>
      <c r="H57" s="57">
        <f>'DATA-ELE'!AI125</f>
        <v>3399.5839999999998</v>
      </c>
      <c r="I57" s="133">
        <f>'DATA-ELE'!AJ125</f>
        <v>4999.42</v>
      </c>
      <c r="K57" s="28">
        <f t="shared" si="10"/>
        <v>0.47059757899790111</v>
      </c>
      <c r="L57" s="29">
        <f t="shared" si="11"/>
        <v>3.6521985118682041</v>
      </c>
    </row>
    <row r="58" spans="2:12" ht="13" x14ac:dyDescent="0.35">
      <c r="B58" s="37" t="s">
        <v>112</v>
      </c>
      <c r="C58" s="37" t="s">
        <v>221</v>
      </c>
      <c r="D58" s="57">
        <f>'DATA-ELE'!AE124</f>
        <v>1578.748</v>
      </c>
      <c r="E58" s="57">
        <f>'DATA-ELE'!AF124</f>
        <v>1821.3019999999999</v>
      </c>
      <c r="F58" s="57">
        <f>'DATA-ELE'!AG124</f>
        <v>2051.0639999999999</v>
      </c>
      <c r="G58" s="57">
        <f>'DATA-ELE'!AH124</f>
        <v>1949.6130000000001</v>
      </c>
      <c r="H58" s="57">
        <f>'DATA-ELE'!AI124</f>
        <v>2582.7379999999998</v>
      </c>
      <c r="I58" s="133">
        <f>'DATA-ELE'!AJ124</f>
        <v>2053.4459999999999</v>
      </c>
      <c r="K58" s="28">
        <f t="shared" si="10"/>
        <v>-0.20493445328174986</v>
      </c>
      <c r="L58" s="29">
        <f t="shared" si="11"/>
        <v>0.13010624984177555</v>
      </c>
    </row>
    <row r="59" spans="2:12" ht="13" x14ac:dyDescent="0.35">
      <c r="B59" s="67"/>
      <c r="C59" s="67" t="s">
        <v>204</v>
      </c>
      <c r="D59" s="56">
        <f>'DATA-ELE'!AE123</f>
        <v>2741499.1809999999</v>
      </c>
      <c r="E59" s="56">
        <f>'DATA-ELE'!AF123</f>
        <v>2639486.264</v>
      </c>
      <c r="F59" s="56">
        <f>'DATA-ELE'!AG123</f>
        <v>2755133.0959999999</v>
      </c>
      <c r="G59" s="56">
        <f>'DATA-ELE'!AH123</f>
        <v>2663892.9169999999</v>
      </c>
      <c r="H59" s="56">
        <f>'DATA-ELE'!AI123</f>
        <v>2585823.12</v>
      </c>
      <c r="I59" s="132">
        <f>'DATA-ELE'!AJ123</f>
        <v>2635122.7919999999</v>
      </c>
      <c r="K59" s="28">
        <f t="shared" si="10"/>
        <v>1.9065369018743894E-2</v>
      </c>
      <c r="L59" s="29">
        <f t="shared" si="11"/>
        <v>-2.8361209812417409E-2</v>
      </c>
    </row>
    <row r="60" spans="2:12" ht="13" x14ac:dyDescent="0.35">
      <c r="B60" s="20" t="s">
        <v>112</v>
      </c>
      <c r="C60" s="20" t="s">
        <v>207</v>
      </c>
      <c r="D60" s="65">
        <f>'DATA-ELE'!AE129</f>
        <v>32708.287</v>
      </c>
      <c r="E60" s="65">
        <f>'DATA-ELE'!AF129</f>
        <v>31912.644</v>
      </c>
      <c r="F60" s="65">
        <f>'DATA-ELE'!AG129</f>
        <v>37077.360000000001</v>
      </c>
      <c r="G60" s="65">
        <f>'DATA-ELE'!AH129</f>
        <v>125966.33500000001</v>
      </c>
      <c r="H60" s="65">
        <f>'DATA-ELE'!AI129</f>
        <v>122286.409</v>
      </c>
      <c r="I60" s="133">
        <f>'DATA-ELE'!AJ129</f>
        <v>176677.133</v>
      </c>
      <c r="K60" s="28">
        <f t="shared" si="10"/>
        <v>0.44478143110736035</v>
      </c>
      <c r="L60" s="29">
        <f t="shared" si="11"/>
        <v>4.2118024185873493</v>
      </c>
    </row>
    <row r="61" spans="2:12" ht="13" x14ac:dyDescent="0.35">
      <c r="B61" s="55"/>
      <c r="C61" s="55" t="s">
        <v>208</v>
      </c>
      <c r="D61" s="56">
        <f>'DATA-ELE'!AE130</f>
        <v>2562558.764</v>
      </c>
      <c r="E61" s="56">
        <f>'DATA-ELE'!AF130</f>
        <v>2463902.503</v>
      </c>
      <c r="F61" s="56">
        <f>'DATA-ELE'!AG130</f>
        <v>2571683.7429999998</v>
      </c>
      <c r="G61" s="56">
        <f>'DATA-ELE'!AH130</f>
        <v>2487571.7760000001</v>
      </c>
      <c r="H61" s="56">
        <f>'DATA-ELE'!AI130</f>
        <v>2410803.4360000002</v>
      </c>
      <c r="I61" s="132">
        <f>'DATA-ELE'!AJ130</f>
        <v>2458445.659</v>
      </c>
      <c r="K61" s="28">
        <f t="shared" si="10"/>
        <v>1.9761969096513177E-2</v>
      </c>
      <c r="L61" s="29">
        <f t="shared" si="11"/>
        <v>-2.9324003780759722E-2</v>
      </c>
    </row>
    <row r="62" spans="2:12" ht="15.5" customHeight="1" x14ac:dyDescent="0.25">
      <c r="B62" s="39" t="s">
        <v>302</v>
      </c>
    </row>
    <row r="63" spans="2:12" ht="16" customHeight="1" x14ac:dyDescent="0.3">
      <c r="B63" s="41" t="s">
        <v>271</v>
      </c>
    </row>
    <row r="64" spans="2:12" x14ac:dyDescent="0.35">
      <c r="D64" s="49"/>
      <c r="E64" s="49"/>
      <c r="F64" s="49"/>
      <c r="G64" s="49"/>
      <c r="H64" s="49"/>
      <c r="I64" s="50"/>
    </row>
    <row r="66" spans="4:9" x14ac:dyDescent="0.35">
      <c r="D66" s="49"/>
      <c r="E66" s="49"/>
      <c r="F66" s="49"/>
      <c r="G66" s="49"/>
      <c r="H66" s="49"/>
      <c r="I66" s="50"/>
    </row>
    <row r="67" spans="4:9" x14ac:dyDescent="0.35">
      <c r="D67" s="49">
        <f>D50-(D30+D29)</f>
        <v>2882496.0320000001</v>
      </c>
      <c r="E67" s="49">
        <f>E50-(E30+E29)</f>
        <v>2762006.8110000002</v>
      </c>
      <c r="F67" s="49">
        <f>F50-(F30+F29)</f>
        <v>2890106.389</v>
      </c>
      <c r="G67" s="49">
        <f>G50-(G30+G29)</f>
        <v>2792345.2379999999</v>
      </c>
      <c r="H67" s="49">
        <f>H50-(H30+H29)</f>
        <v>2718396.9579999996</v>
      </c>
      <c r="I67" s="49">
        <f>I50-(I30+I29)</f>
        <v>2777146.2379999999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B2:R61"/>
  <sheetViews>
    <sheetView topLeftCell="A42" zoomScaleNormal="100" workbookViewId="0">
      <selection activeCell="B44" sqref="B44:I57"/>
    </sheetView>
  </sheetViews>
  <sheetFormatPr defaultColWidth="9.1796875" defaultRowHeight="12.5" x14ac:dyDescent="0.35"/>
  <cols>
    <col min="1" max="1" width="9.1796875" style="22"/>
    <col min="2" max="2" width="2" style="22" bestFit="1" customWidth="1"/>
    <col min="3" max="3" width="31" style="22" customWidth="1"/>
    <col min="4" max="8" width="10.7265625" style="22" customWidth="1"/>
    <col min="9" max="9" width="10.7265625" style="40" customWidth="1"/>
    <col min="10" max="16384" width="9.1796875" style="22"/>
  </cols>
  <sheetData>
    <row r="2" spans="3:14" ht="15.5" x14ac:dyDescent="0.35">
      <c r="C2" s="1" t="s">
        <v>250</v>
      </c>
    </row>
    <row r="3" spans="3:14" ht="26" x14ac:dyDescent="0.35">
      <c r="C3" s="21"/>
      <c r="D3" s="71">
        <v>2019</v>
      </c>
      <c r="E3" s="71">
        <v>2020</v>
      </c>
      <c r="F3" s="71">
        <v>2021</v>
      </c>
      <c r="G3" s="71">
        <v>2022</v>
      </c>
      <c r="H3" s="71">
        <v>2023</v>
      </c>
      <c r="I3" s="123" t="s">
        <v>303</v>
      </c>
      <c r="K3" s="23" t="s">
        <v>304</v>
      </c>
      <c r="L3" s="24" t="s">
        <v>305</v>
      </c>
      <c r="M3" s="22" t="s">
        <v>281</v>
      </c>
      <c r="N3" s="22" t="s">
        <v>306</v>
      </c>
    </row>
    <row r="4" spans="3:14" ht="13" x14ac:dyDescent="0.35">
      <c r="C4" s="26" t="s">
        <v>55</v>
      </c>
      <c r="D4" s="32">
        <v>1915</v>
      </c>
      <c r="E4" s="32">
        <v>1915</v>
      </c>
      <c r="F4" s="32">
        <v>1635.6179999999999</v>
      </c>
      <c r="G4" s="32">
        <v>1089.4469999999999</v>
      </c>
      <c r="H4" s="32">
        <v>761.97400000000005</v>
      </c>
      <c r="I4" s="131">
        <v>533.06299999999999</v>
      </c>
      <c r="K4" s="28">
        <f>I4/H4-1</f>
        <v>-0.3004183869790833</v>
      </c>
      <c r="L4" s="29">
        <f>I4/AVERAGE(D4:F4)-1</f>
        <v>-0.70740929936925712</v>
      </c>
      <c r="M4" s="49">
        <f>I4-H4</f>
        <v>-228.91100000000006</v>
      </c>
      <c r="N4" s="59">
        <f>I4/D4-1</f>
        <v>-0.72163812010443862</v>
      </c>
    </row>
    <row r="5" spans="3:14" ht="13" x14ac:dyDescent="0.35">
      <c r="C5" s="31" t="s">
        <v>56</v>
      </c>
      <c r="D5" s="32">
        <v>1003.177</v>
      </c>
      <c r="E5" s="32">
        <v>1110.7249999999999</v>
      </c>
      <c r="F5" s="32">
        <v>1272.2449999999999</v>
      </c>
      <c r="G5" s="32">
        <v>3515.2069999999999</v>
      </c>
      <c r="H5" s="32">
        <v>7601.6130000000003</v>
      </c>
      <c r="I5" s="131">
        <v>6133.5870000000004</v>
      </c>
      <c r="K5" s="28">
        <f t="shared" ref="K5:K31" si="0">I5/H5-1</f>
        <v>-0.19312032854079786</v>
      </c>
      <c r="L5" s="29">
        <f t="shared" ref="L5:L31" si="1">I5/AVERAGE(D5:F5)-1</f>
        <v>4.4341294102116651</v>
      </c>
      <c r="M5" s="49">
        <f t="shared" ref="M5:M31" si="2">I5-H5</f>
        <v>-1468.0259999999998</v>
      </c>
      <c r="N5" s="59">
        <f t="shared" ref="N5:N31" si="3">I5/D5-1</f>
        <v>5.1141623063527177</v>
      </c>
    </row>
    <row r="6" spans="3:14" ht="13" x14ac:dyDescent="0.35">
      <c r="C6" s="31" t="s">
        <v>57</v>
      </c>
      <c r="D6" s="32">
        <v>377280.63500000001</v>
      </c>
      <c r="E6" s="32">
        <v>319923.56199999998</v>
      </c>
      <c r="F6" s="32">
        <v>344334.38099999999</v>
      </c>
      <c r="G6" s="32">
        <v>321149.33100000001</v>
      </c>
      <c r="H6" s="32">
        <v>263101.76899999997</v>
      </c>
      <c r="I6" s="131">
        <v>237672.84400000001</v>
      </c>
      <c r="K6" s="28">
        <f t="shared" si="0"/>
        <v>-9.6650528412068448E-2</v>
      </c>
      <c r="L6" s="29">
        <f t="shared" si="1"/>
        <v>-0.31541802957585696</v>
      </c>
      <c r="M6" s="49">
        <f t="shared" si="2"/>
        <v>-25428.924999999959</v>
      </c>
      <c r="N6" s="59">
        <f t="shared" si="3"/>
        <v>-0.37003699116441535</v>
      </c>
    </row>
    <row r="7" spans="3:14" ht="13" x14ac:dyDescent="0.35">
      <c r="C7" s="31" t="s">
        <v>59</v>
      </c>
      <c r="D7" s="32">
        <v>4442.68</v>
      </c>
      <c r="E7" s="32">
        <v>4096.01</v>
      </c>
      <c r="F7" s="32">
        <v>4211.5209999999997</v>
      </c>
      <c r="G7" s="32">
        <v>3991.1729999999998</v>
      </c>
      <c r="H7" s="32">
        <v>2757.2269999999999</v>
      </c>
      <c r="I7" s="131">
        <v>1406.16</v>
      </c>
      <c r="K7" s="28">
        <f t="shared" si="0"/>
        <v>-0.49000934634689119</v>
      </c>
      <c r="L7" s="29">
        <f t="shared" si="1"/>
        <v>-0.66914429886689719</v>
      </c>
      <c r="M7" s="49">
        <f t="shared" si="2"/>
        <v>-1351.0669999999998</v>
      </c>
      <c r="N7" s="59">
        <f t="shared" si="3"/>
        <v>-0.68348834487291454</v>
      </c>
    </row>
    <row r="8" spans="3:14" ht="13" x14ac:dyDescent="0.35">
      <c r="C8" s="31" t="s">
        <v>60</v>
      </c>
      <c r="D8" s="32">
        <v>94725.94</v>
      </c>
      <c r="E8" s="32">
        <v>87994.49</v>
      </c>
      <c r="F8" s="32">
        <v>91908.351999999999</v>
      </c>
      <c r="G8" s="32">
        <v>86900.517000000007</v>
      </c>
      <c r="H8" s="32">
        <v>75398.298999999999</v>
      </c>
      <c r="I8" s="131">
        <v>67461.106</v>
      </c>
      <c r="K8" s="28">
        <f t="shared" si="0"/>
        <v>-0.10527018653298792</v>
      </c>
      <c r="L8" s="29">
        <f t="shared" si="1"/>
        <v>-0.26306588651731344</v>
      </c>
      <c r="M8" s="49">
        <f t="shared" si="2"/>
        <v>-7937.1929999999993</v>
      </c>
      <c r="N8" s="59">
        <f t="shared" si="3"/>
        <v>-0.28782859267482597</v>
      </c>
    </row>
    <row r="9" spans="3:14" ht="13" x14ac:dyDescent="0.35">
      <c r="C9" s="31" t="s">
        <v>64</v>
      </c>
      <c r="D9" s="32">
        <v>7797.241</v>
      </c>
      <c r="E9" s="32">
        <v>6874.4740000000002</v>
      </c>
      <c r="F9" s="32">
        <v>7100.433</v>
      </c>
      <c r="G9" s="32">
        <v>6831.4359999999997</v>
      </c>
      <c r="H9" s="32">
        <v>5433.0060000000003</v>
      </c>
      <c r="I9" s="131">
        <v>5337.86</v>
      </c>
      <c r="K9" s="28">
        <f t="shared" si="0"/>
        <v>-1.751258879522688E-2</v>
      </c>
      <c r="L9" s="29">
        <f t="shared" si="1"/>
        <v>-0.26449241480445573</v>
      </c>
      <c r="M9" s="49">
        <f t="shared" si="2"/>
        <v>-95.14600000000064</v>
      </c>
      <c r="N9" s="59">
        <f t="shared" si="3"/>
        <v>-0.3154168250025875</v>
      </c>
    </row>
    <row r="10" spans="3:14" ht="13" x14ac:dyDescent="0.35">
      <c r="C10" s="31" t="s">
        <v>77</v>
      </c>
      <c r="D10" s="32">
        <v>13577.115</v>
      </c>
      <c r="E10" s="32">
        <v>10761.525</v>
      </c>
      <c r="F10" s="32">
        <v>11995.019</v>
      </c>
      <c r="G10" s="32">
        <v>9544.3790000000008</v>
      </c>
      <c r="H10" s="32">
        <v>8719.5810000000001</v>
      </c>
      <c r="I10" s="131">
        <v>4341.6379999999999</v>
      </c>
      <c r="K10" s="28">
        <f t="shared" si="0"/>
        <v>-0.50208180874746167</v>
      </c>
      <c r="L10" s="29">
        <f t="shared" si="1"/>
        <v>-0.64151934161103896</v>
      </c>
      <c r="M10" s="49">
        <f t="shared" si="2"/>
        <v>-4377.9430000000002</v>
      </c>
      <c r="N10" s="59">
        <f t="shared" si="3"/>
        <v>-0.68022381779928942</v>
      </c>
    </row>
    <row r="11" spans="3:14" ht="13" x14ac:dyDescent="0.3">
      <c r="C11" s="61" t="s">
        <v>79</v>
      </c>
      <c r="D11" s="32">
        <v>18854.781999999999</v>
      </c>
      <c r="E11" s="32">
        <v>18870.311000000002</v>
      </c>
      <c r="F11" s="32">
        <v>17350.234</v>
      </c>
      <c r="G11" s="32">
        <v>15112.191000000001</v>
      </c>
      <c r="H11" s="32">
        <v>14189.19</v>
      </c>
      <c r="I11" s="131">
        <v>15150.021000000001</v>
      </c>
      <c r="K11" s="28">
        <f t="shared" si="0"/>
        <v>6.7715704701959645E-2</v>
      </c>
      <c r="L11" s="29">
        <f t="shared" si="1"/>
        <v>-0.1747654444248693</v>
      </c>
      <c r="M11" s="49">
        <f t="shared" si="2"/>
        <v>960.83100000000013</v>
      </c>
      <c r="N11" s="59">
        <f t="shared" si="3"/>
        <v>-0.19648919833705836</v>
      </c>
    </row>
    <row r="12" spans="3:14" ht="13" x14ac:dyDescent="0.35">
      <c r="C12" s="31" t="s">
        <v>66</v>
      </c>
      <c r="D12" s="32">
        <v>30434.108</v>
      </c>
      <c r="E12" s="32">
        <v>23536.958999999999</v>
      </c>
      <c r="F12" s="32">
        <v>19233.236000000001</v>
      </c>
      <c r="G12" s="32">
        <v>17152.902999999998</v>
      </c>
      <c r="H12" s="32">
        <v>14477.758</v>
      </c>
      <c r="I12" s="131">
        <v>10908.3</v>
      </c>
      <c r="K12" s="28">
        <f t="shared" si="0"/>
        <v>-0.24654770441666451</v>
      </c>
      <c r="L12" s="29">
        <f t="shared" si="1"/>
        <v>-0.55296480317557295</v>
      </c>
      <c r="M12" s="49">
        <f t="shared" si="2"/>
        <v>-3569.4580000000005</v>
      </c>
      <c r="N12" s="59">
        <f t="shared" si="3"/>
        <v>-0.64157648385817656</v>
      </c>
    </row>
    <row r="13" spans="3:14" ht="13" x14ac:dyDescent="0.35">
      <c r="C13" s="31" t="s">
        <v>68</v>
      </c>
      <c r="D13" s="32">
        <v>1958.13</v>
      </c>
      <c r="E13" s="32">
        <v>1207.4829999999999</v>
      </c>
      <c r="F13" s="32">
        <v>1696.347</v>
      </c>
      <c r="G13" s="32">
        <v>1781.5250000000001</v>
      </c>
      <c r="H13" s="32">
        <v>1240.4449999999999</v>
      </c>
      <c r="I13" s="131">
        <v>2708.2510000000002</v>
      </c>
      <c r="K13" s="28">
        <f t="shared" si="0"/>
        <v>1.1832898677490742</v>
      </c>
      <c r="L13" s="29">
        <f t="shared" si="1"/>
        <v>0.67108594064945004</v>
      </c>
      <c r="M13" s="49">
        <f t="shared" si="2"/>
        <v>1467.8060000000003</v>
      </c>
      <c r="N13" s="59">
        <f t="shared" si="3"/>
        <v>0.38308028578286435</v>
      </c>
    </row>
    <row r="14" spans="3:14" ht="13" x14ac:dyDescent="0.35">
      <c r="C14" s="31" t="s">
        <v>81</v>
      </c>
      <c r="D14" s="32">
        <v>806073.81</v>
      </c>
      <c r="E14" s="32">
        <v>787187.35100000002</v>
      </c>
      <c r="F14" s="32">
        <v>765227.69</v>
      </c>
      <c r="G14" s="32">
        <v>641315.90099999995</v>
      </c>
      <c r="H14" s="32">
        <v>639592.94099999999</v>
      </c>
      <c r="I14" s="131">
        <v>636055.29</v>
      </c>
      <c r="K14" s="28">
        <f t="shared" si="0"/>
        <v>-5.5310976297969772E-3</v>
      </c>
      <c r="L14" s="29">
        <f t="shared" si="1"/>
        <v>-0.19093708278886401</v>
      </c>
      <c r="M14" s="49">
        <f t="shared" si="2"/>
        <v>-3537.6509999999544</v>
      </c>
      <c r="N14" s="59">
        <f t="shared" si="3"/>
        <v>-0.21092177650580168</v>
      </c>
    </row>
    <row r="15" spans="3:14" ht="13" x14ac:dyDescent="0.35">
      <c r="C15" s="31" t="s">
        <v>124</v>
      </c>
      <c r="D15" s="32">
        <v>39784.173999999999</v>
      </c>
      <c r="E15" s="32">
        <v>36985.663</v>
      </c>
      <c r="F15" s="32">
        <v>20928.945</v>
      </c>
      <c r="G15" s="32">
        <v>22039.089</v>
      </c>
      <c r="H15" s="32">
        <v>21013.066999999999</v>
      </c>
      <c r="I15" s="131">
        <v>16875.255000000001</v>
      </c>
      <c r="K15" s="28">
        <f t="shared" si="0"/>
        <v>-0.19691613794407059</v>
      </c>
      <c r="L15" s="29">
        <f t="shared" si="1"/>
        <v>-0.48181784907001191</v>
      </c>
      <c r="M15" s="49">
        <f t="shared" si="2"/>
        <v>-4137.8119999999981</v>
      </c>
      <c r="N15" s="59">
        <f t="shared" si="3"/>
        <v>-0.57582995187986052</v>
      </c>
    </row>
    <row r="16" spans="3:14" ht="13" x14ac:dyDescent="0.35">
      <c r="C16" s="31" t="s">
        <v>126</v>
      </c>
      <c r="D16" s="32">
        <v>1156.3219999999999</v>
      </c>
      <c r="E16" s="32">
        <v>918.81700000000001</v>
      </c>
      <c r="F16" s="32">
        <v>959.16800000000001</v>
      </c>
      <c r="G16" s="32">
        <v>2193.5830000000001</v>
      </c>
      <c r="H16" s="32">
        <v>2579.5569999999998</v>
      </c>
      <c r="I16" s="131">
        <v>2364.8910000000001</v>
      </c>
      <c r="K16" s="28">
        <f t="shared" si="0"/>
        <v>-8.3218164979490528E-2</v>
      </c>
      <c r="L16" s="29">
        <f t="shared" si="1"/>
        <v>1.3381526655015459</v>
      </c>
      <c r="M16" s="49">
        <f t="shared" si="2"/>
        <v>-214.66599999999971</v>
      </c>
      <c r="N16" s="59">
        <f t="shared" si="3"/>
        <v>1.0451837809883409</v>
      </c>
    </row>
    <row r="17" spans="3:14" ht="13" x14ac:dyDescent="0.35">
      <c r="C17" s="31" t="s">
        <v>135</v>
      </c>
      <c r="D17" s="32">
        <v>8910.3439999999991</v>
      </c>
      <c r="E17" s="32">
        <v>8077.26</v>
      </c>
      <c r="F17" s="32">
        <v>15726.73</v>
      </c>
      <c r="G17" s="32">
        <v>26993.338</v>
      </c>
      <c r="H17" s="32">
        <v>15585.165000000001</v>
      </c>
      <c r="I17" s="131">
        <v>14966.775</v>
      </c>
      <c r="K17" s="28">
        <f t="shared" si="0"/>
        <v>-3.9678116978549838E-2</v>
      </c>
      <c r="L17" s="29">
        <f t="shared" si="1"/>
        <v>0.37249699168566286</v>
      </c>
      <c r="M17" s="49">
        <f t="shared" si="2"/>
        <v>-618.39000000000124</v>
      </c>
      <c r="N17" s="59">
        <f t="shared" si="3"/>
        <v>0.67970787659825493</v>
      </c>
    </row>
    <row r="18" spans="3:14" ht="13" x14ac:dyDescent="0.35">
      <c r="C18" s="31" t="s">
        <v>139</v>
      </c>
      <c r="D18" s="32">
        <v>12329.332</v>
      </c>
      <c r="E18" s="32">
        <v>12423.001</v>
      </c>
      <c r="F18" s="32">
        <v>10696.591</v>
      </c>
      <c r="G18" s="32">
        <v>12235.564</v>
      </c>
      <c r="H18" s="32">
        <v>11973.554</v>
      </c>
      <c r="I18" s="131">
        <v>13075.111000000001</v>
      </c>
      <c r="K18" s="28">
        <f t="shared" si="0"/>
        <v>9.1999167498639123E-2</v>
      </c>
      <c r="L18" s="29">
        <f t="shared" si="1"/>
        <v>0.10653099089834162</v>
      </c>
      <c r="M18" s="49">
        <f t="shared" si="2"/>
        <v>1101.5570000000007</v>
      </c>
      <c r="N18" s="59">
        <f t="shared" si="3"/>
        <v>6.0488191898798727E-2</v>
      </c>
    </row>
    <row r="19" spans="3:14" ht="13" x14ac:dyDescent="0.35">
      <c r="C19" s="31" t="s">
        <v>184</v>
      </c>
      <c r="D19" s="32">
        <v>476248.14600000001</v>
      </c>
      <c r="E19" s="32">
        <v>472434.26899999997</v>
      </c>
      <c r="F19" s="32">
        <v>542805.69700000004</v>
      </c>
      <c r="G19" s="32">
        <v>517930.598</v>
      </c>
      <c r="H19" s="32">
        <v>499438.53399999999</v>
      </c>
      <c r="I19" s="131">
        <v>492059.424</v>
      </c>
      <c r="K19" s="28">
        <f t="shared" si="0"/>
        <v>-1.4774811108187347E-2</v>
      </c>
      <c r="L19" s="29">
        <f t="shared" si="1"/>
        <v>-1.0264808600767616E-2</v>
      </c>
      <c r="M19" s="49">
        <f t="shared" si="2"/>
        <v>-7379.109999999986</v>
      </c>
      <c r="N19" s="59">
        <f t="shared" si="3"/>
        <v>3.3199663101680654E-2</v>
      </c>
    </row>
    <row r="20" spans="3:14" ht="13" x14ac:dyDescent="0.35">
      <c r="C20" s="31" t="s">
        <v>188</v>
      </c>
      <c r="D20" s="32">
        <v>40669.258999999998</v>
      </c>
      <c r="E20" s="32">
        <v>42763.194000000003</v>
      </c>
      <c r="F20" s="32">
        <v>25694.983</v>
      </c>
      <c r="G20" s="32">
        <v>26166.851999999999</v>
      </c>
      <c r="H20" s="32">
        <v>26518.614000000001</v>
      </c>
      <c r="I20" s="131">
        <v>25638.460999999999</v>
      </c>
      <c r="K20" s="28">
        <f t="shared" si="0"/>
        <v>-3.319000759240287E-2</v>
      </c>
      <c r="L20" s="29">
        <f t="shared" si="1"/>
        <v>-0.295178317943803</v>
      </c>
      <c r="M20" s="49">
        <f t="shared" si="2"/>
        <v>-880.15300000000207</v>
      </c>
      <c r="N20" s="59">
        <f t="shared" si="3"/>
        <v>-0.36958622727795454</v>
      </c>
    </row>
    <row r="21" spans="3:14" ht="13" x14ac:dyDescent="0.35">
      <c r="C21" s="31" t="s">
        <v>189</v>
      </c>
      <c r="D21" s="32">
        <v>14545.035</v>
      </c>
      <c r="E21" s="32">
        <v>11694.927</v>
      </c>
      <c r="F21" s="32">
        <v>13388.147000000001</v>
      </c>
      <c r="G21" s="32">
        <v>12867.012000000001</v>
      </c>
      <c r="H21" s="32">
        <v>13474.087</v>
      </c>
      <c r="I21" s="131">
        <v>14170.643</v>
      </c>
      <c r="K21" s="28">
        <f t="shared" si="0"/>
        <v>5.1695970198203378E-2</v>
      </c>
      <c r="L21" s="29">
        <f t="shared" si="1"/>
        <v>7.277208205922725E-2</v>
      </c>
      <c r="M21" s="49">
        <f t="shared" si="2"/>
        <v>696.55600000000049</v>
      </c>
      <c r="N21" s="59">
        <f t="shared" si="3"/>
        <v>-2.5740192443675758E-2</v>
      </c>
    </row>
    <row r="22" spans="3:14" ht="13" x14ac:dyDescent="0.35">
      <c r="C22" s="31" t="s">
        <v>190</v>
      </c>
      <c r="D22" s="32">
        <v>120662.13400000001</v>
      </c>
      <c r="E22" s="32">
        <v>123996.364</v>
      </c>
      <c r="F22" s="32">
        <v>130395.345</v>
      </c>
      <c r="G22" s="32">
        <v>125860.876</v>
      </c>
      <c r="H22" s="32">
        <v>121918.63</v>
      </c>
      <c r="I22" s="131">
        <v>130885.61500000001</v>
      </c>
      <c r="K22" s="28">
        <f t="shared" si="0"/>
        <v>7.3548931775234028E-2</v>
      </c>
      <c r="L22" s="29">
        <f t="shared" si="1"/>
        <v>4.6934599734257398E-2</v>
      </c>
      <c r="M22" s="49">
        <f t="shared" si="2"/>
        <v>8966.9850000000006</v>
      </c>
      <c r="N22" s="59">
        <f t="shared" si="3"/>
        <v>8.4728163352390196E-2</v>
      </c>
    </row>
    <row r="23" spans="3:14" ht="13" x14ac:dyDescent="0.35">
      <c r="C23" s="31" t="s">
        <v>191</v>
      </c>
      <c r="D23" s="32">
        <v>115968.522</v>
      </c>
      <c r="E23" s="32">
        <v>119393.121</v>
      </c>
      <c r="F23" s="32">
        <v>124487.386</v>
      </c>
      <c r="G23" s="32">
        <v>121227.07</v>
      </c>
      <c r="H23" s="32">
        <v>115797.368</v>
      </c>
      <c r="I23" s="131">
        <v>124502.99099999999</v>
      </c>
      <c r="K23" s="28">
        <f t="shared" si="0"/>
        <v>7.5179800286997889E-2</v>
      </c>
      <c r="L23" s="29">
        <f t="shared" si="1"/>
        <v>3.7960208029351072E-2</v>
      </c>
      <c r="M23" s="49">
        <f t="shared" si="2"/>
        <v>8705.6229999999923</v>
      </c>
      <c r="N23" s="59">
        <f t="shared" si="3"/>
        <v>7.3592978963722633E-2</v>
      </c>
    </row>
    <row r="24" spans="3:14" ht="13" x14ac:dyDescent="0.35">
      <c r="C24" s="31" t="s">
        <v>164</v>
      </c>
      <c r="D24" s="32">
        <v>12944.665000000001</v>
      </c>
      <c r="E24" s="32">
        <v>13385.829</v>
      </c>
      <c r="F24" s="32">
        <v>14079.066999999999</v>
      </c>
      <c r="G24" s="32">
        <v>14784.38</v>
      </c>
      <c r="H24" s="32">
        <v>14434.14</v>
      </c>
      <c r="I24" s="131">
        <v>14340.451999999999</v>
      </c>
      <c r="K24" s="28">
        <f t="shared" si="0"/>
        <v>-6.4907226894016512E-3</v>
      </c>
      <c r="L24" s="29">
        <f t="shared" si="1"/>
        <v>6.4633095123205919E-2</v>
      </c>
      <c r="M24" s="49">
        <f t="shared" si="2"/>
        <v>-93.688000000000102</v>
      </c>
      <c r="N24" s="59">
        <f t="shared" si="3"/>
        <v>0.10782720139918633</v>
      </c>
    </row>
    <row r="25" spans="3:14" ht="13" x14ac:dyDescent="0.35">
      <c r="C25" s="31" t="s">
        <v>168</v>
      </c>
      <c r="D25" s="32">
        <v>2461.7530000000002</v>
      </c>
      <c r="E25" s="32">
        <v>2842.8429999999998</v>
      </c>
      <c r="F25" s="32">
        <v>2583.7710000000002</v>
      </c>
      <c r="G25" s="32">
        <v>3048.317</v>
      </c>
      <c r="H25" s="32">
        <v>2922.0410000000002</v>
      </c>
      <c r="I25" s="131">
        <v>2676.8029999999999</v>
      </c>
      <c r="K25" s="28">
        <f t="shared" si="0"/>
        <v>-8.3926953797020754E-2</v>
      </c>
      <c r="L25" s="29">
        <f t="shared" si="1"/>
        <v>1.8006515163404568E-2</v>
      </c>
      <c r="M25" s="49">
        <f t="shared" si="2"/>
        <v>-245.23800000000028</v>
      </c>
      <c r="N25" s="59">
        <f t="shared" si="3"/>
        <v>8.7356448839505774E-2</v>
      </c>
    </row>
    <row r="26" spans="3:14" ht="13" x14ac:dyDescent="0.35">
      <c r="C26" s="31" t="s">
        <v>174</v>
      </c>
      <c r="D26" s="32">
        <v>21833.929</v>
      </c>
      <c r="E26" s="32">
        <v>23942.151999999998</v>
      </c>
      <c r="F26" s="32">
        <v>26914.282999999999</v>
      </c>
      <c r="G26" s="32">
        <v>25666.42</v>
      </c>
      <c r="H26" s="32">
        <v>32915.167999999998</v>
      </c>
      <c r="I26" s="131">
        <v>32067.137999999999</v>
      </c>
      <c r="K26" s="28">
        <f t="shared" si="0"/>
        <v>-2.5764109725947559E-2</v>
      </c>
      <c r="L26" s="29">
        <f t="shared" si="1"/>
        <v>0.32344108223202728</v>
      </c>
      <c r="M26" s="49">
        <f t="shared" si="2"/>
        <v>-848.02999999999884</v>
      </c>
      <c r="N26" s="59">
        <f t="shared" si="3"/>
        <v>0.46868380858067282</v>
      </c>
    </row>
    <row r="27" spans="3:14" ht="13" x14ac:dyDescent="0.35">
      <c r="C27" s="31" t="s">
        <v>181</v>
      </c>
      <c r="D27" s="32">
        <v>3979.9720000000002</v>
      </c>
      <c r="E27" s="32">
        <v>3686.2710000000002</v>
      </c>
      <c r="F27" s="32">
        <v>3913.2440000000001</v>
      </c>
      <c r="G27" s="32">
        <v>3687.7890000000002</v>
      </c>
      <c r="H27" s="32">
        <v>3789.413</v>
      </c>
      <c r="I27" s="131">
        <v>4149.9309999999996</v>
      </c>
      <c r="K27" s="28">
        <f t="shared" si="0"/>
        <v>9.5138217977296158E-2</v>
      </c>
      <c r="L27" s="29">
        <f t="shared" si="1"/>
        <v>7.5159288144630132E-2</v>
      </c>
      <c r="M27" s="49">
        <f t="shared" si="2"/>
        <v>360.51799999999957</v>
      </c>
      <c r="N27" s="59">
        <f t="shared" si="3"/>
        <v>4.2703566758760969E-2</v>
      </c>
    </row>
    <row r="28" spans="3:14" ht="13" x14ac:dyDescent="0.35">
      <c r="C28" s="31" t="s">
        <v>176</v>
      </c>
      <c r="D28" s="32">
        <v>2397.61</v>
      </c>
      <c r="E28" s="32">
        <v>4334.8469999999998</v>
      </c>
      <c r="F28" s="32">
        <v>4640.442</v>
      </c>
      <c r="G28" s="32">
        <v>5115.2280000000001</v>
      </c>
      <c r="H28" s="32">
        <v>11992.865</v>
      </c>
      <c r="I28" s="131">
        <v>14160.004999999999</v>
      </c>
      <c r="K28" s="28">
        <f t="shared" si="0"/>
        <v>0.18070244266069868</v>
      </c>
      <c r="L28" s="29">
        <f t="shared" si="1"/>
        <v>2.7351967163341548</v>
      </c>
      <c r="M28" s="49">
        <f t="shared" si="2"/>
        <v>2167.1399999999994</v>
      </c>
      <c r="N28" s="59">
        <f t="shared" si="3"/>
        <v>4.9058833588448492</v>
      </c>
    </row>
    <row r="29" spans="3:14" ht="13" x14ac:dyDescent="0.35">
      <c r="C29" s="31" t="s">
        <v>192</v>
      </c>
      <c r="D29" s="32">
        <v>38037.057999999997</v>
      </c>
      <c r="E29" s="32">
        <v>38338.228000000003</v>
      </c>
      <c r="F29" s="32">
        <v>38029.612999999998</v>
      </c>
      <c r="G29" s="32">
        <v>31343.165000000001</v>
      </c>
      <c r="H29" s="32">
        <v>25354.034</v>
      </c>
      <c r="I29" s="131">
        <v>33115.665999999997</v>
      </c>
      <c r="K29" s="28">
        <f t="shared" si="0"/>
        <v>0.30613006198540238</v>
      </c>
      <c r="L29" s="29">
        <f t="shared" si="1"/>
        <v>-0.13161937234873133</v>
      </c>
      <c r="M29" s="49">
        <f t="shared" si="2"/>
        <v>7761.6319999999978</v>
      </c>
      <c r="N29" s="59">
        <f t="shared" si="3"/>
        <v>-0.12938413901516777</v>
      </c>
    </row>
    <row r="30" spans="3:14" ht="13" x14ac:dyDescent="0.35">
      <c r="C30" s="33" t="s">
        <v>200</v>
      </c>
      <c r="D30" s="34">
        <f t="shared" ref="D30:I30" si="4">D35-SUM(D4:D29)</f>
        <v>75029.327000000048</v>
      </c>
      <c r="E30" s="34">
        <f t="shared" si="4"/>
        <v>77340.635000000242</v>
      </c>
      <c r="F30" s="34">
        <f t="shared" si="4"/>
        <v>71468.449000000488</v>
      </c>
      <c r="G30" s="34">
        <f t="shared" si="4"/>
        <v>65271.386000000173</v>
      </c>
      <c r="H30" s="34">
        <f t="shared" si="4"/>
        <v>90143.927000000142</v>
      </c>
      <c r="I30" s="125">
        <f t="shared" si="4"/>
        <v>93204.071000000229</v>
      </c>
      <c r="K30" s="28">
        <f t="shared" si="0"/>
        <v>3.3947311836104888E-2</v>
      </c>
      <c r="L30" s="29">
        <f t="shared" si="1"/>
        <v>0.24916993357319606</v>
      </c>
      <c r="M30" s="49">
        <f t="shared" si="2"/>
        <v>3060.1440000000875</v>
      </c>
      <c r="N30" s="59">
        <f t="shared" si="3"/>
        <v>0.24223519957736217</v>
      </c>
    </row>
    <row r="31" spans="3:14" ht="13" x14ac:dyDescent="0.35">
      <c r="C31" s="55" t="s">
        <v>154</v>
      </c>
      <c r="D31" s="56">
        <f>SUM(D4:D30)</f>
        <v>2345020.2000000002</v>
      </c>
      <c r="E31" s="56">
        <f t="shared" ref="E31:I31" si="5">SUM(E4:E30)</f>
        <v>2256035.3110000002</v>
      </c>
      <c r="F31" s="56">
        <f t="shared" si="5"/>
        <v>2312676.9369999999</v>
      </c>
      <c r="G31" s="56">
        <f t="shared" si="5"/>
        <v>2124814.6770000001</v>
      </c>
      <c r="H31" s="56">
        <f t="shared" si="5"/>
        <v>2043123.9669999999</v>
      </c>
      <c r="I31" s="132">
        <f t="shared" si="5"/>
        <v>2015961.352</v>
      </c>
      <c r="K31" s="28">
        <f t="shared" si="0"/>
        <v>-1.3294648508227258E-2</v>
      </c>
      <c r="L31" s="29">
        <f t="shared" si="1"/>
        <v>-0.12523602822531443</v>
      </c>
      <c r="M31" s="49">
        <f t="shared" si="2"/>
        <v>-27162.614999999991</v>
      </c>
      <c r="N31" s="59">
        <f t="shared" si="3"/>
        <v>-0.14032239381136258</v>
      </c>
    </row>
    <row r="32" spans="3:14" ht="15.5" customHeight="1" x14ac:dyDescent="0.25">
      <c r="C32" s="39" t="s">
        <v>302</v>
      </c>
    </row>
    <row r="33" spans="2:18" ht="16" customHeight="1" x14ac:dyDescent="0.3">
      <c r="C33" s="41" t="s">
        <v>267</v>
      </c>
    </row>
    <row r="35" spans="2:18" ht="13" x14ac:dyDescent="0.35">
      <c r="C35" s="68" t="s">
        <v>199</v>
      </c>
      <c r="D35" s="69">
        <v>2345020.2000000002</v>
      </c>
      <c r="E35" s="69">
        <v>2256035.3110000002</v>
      </c>
      <c r="F35" s="69">
        <v>2312676.9369999999</v>
      </c>
      <c r="G35" s="69">
        <v>2124814.6770000001</v>
      </c>
      <c r="H35" s="69">
        <v>2043123.9669999999</v>
      </c>
      <c r="I35" s="70">
        <v>2015961.352</v>
      </c>
    </row>
    <row r="36" spans="2:18" x14ac:dyDescent="0.35">
      <c r="M36" s="22" t="s">
        <v>282</v>
      </c>
    </row>
    <row r="37" spans="2:18" x14ac:dyDescent="0.35">
      <c r="L37" s="22">
        <v>2019</v>
      </c>
      <c r="M37" s="22">
        <v>2023</v>
      </c>
      <c r="N37" s="22">
        <v>2024</v>
      </c>
    </row>
    <row r="38" spans="2:18" x14ac:dyDescent="0.35">
      <c r="L38" s="49">
        <f>D21+D22+D23</f>
        <v>251175.69099999999</v>
      </c>
      <c r="M38" s="49">
        <f>H21+H22+H23</f>
        <v>251190.08500000002</v>
      </c>
      <c r="N38" s="49">
        <f>I21+I22+I23</f>
        <v>269559.24900000001</v>
      </c>
      <c r="O38" s="59">
        <f>N38/M38-1</f>
        <v>7.3128539289279537E-2</v>
      </c>
      <c r="P38" s="59">
        <f>N38/L38-1</f>
        <v>7.3190036531043168E-2</v>
      </c>
      <c r="R38" s="59">
        <f>N38/M38-1</f>
        <v>7.3128539289279537E-2</v>
      </c>
    </row>
    <row r="44" spans="2:18" ht="15.5" x14ac:dyDescent="0.35">
      <c r="B44" s="1" t="s">
        <v>251</v>
      </c>
      <c r="C44" s="20"/>
    </row>
    <row r="45" spans="2:18" ht="26" x14ac:dyDescent="0.35">
      <c r="B45" s="21"/>
      <c r="C45" s="21"/>
      <c r="D45" s="21">
        <v>2019</v>
      </c>
      <c r="E45" s="21">
        <v>2020</v>
      </c>
      <c r="F45" s="21">
        <v>2021</v>
      </c>
      <c r="G45" s="21">
        <v>2022</v>
      </c>
      <c r="H45" s="21">
        <v>2023</v>
      </c>
      <c r="I45" s="128" t="s">
        <v>303</v>
      </c>
      <c r="K45" s="23" t="s">
        <v>304</v>
      </c>
      <c r="L45" s="24" t="s">
        <v>305</v>
      </c>
    </row>
    <row r="46" spans="2:18" ht="13" x14ac:dyDescent="0.35">
      <c r="B46" s="55"/>
      <c r="C46" s="55" t="s">
        <v>179</v>
      </c>
      <c r="D46" s="56">
        <f>'DATA-HEAT'!AE128</f>
        <v>2345020.2000000002</v>
      </c>
      <c r="E46" s="56">
        <f>'DATA-HEAT'!AF128</f>
        <v>2256035.3110000002</v>
      </c>
      <c r="F46" s="56">
        <f>'DATA-HEAT'!AG128</f>
        <v>2312676.9369999999</v>
      </c>
      <c r="G46" s="56">
        <f>'DATA-HEAT'!AH128</f>
        <v>2124814.6770000001</v>
      </c>
      <c r="H46" s="56">
        <f>'DATA-HEAT'!AI128</f>
        <v>2043123.9669999999</v>
      </c>
      <c r="I46" s="132">
        <f>'DATA-HEAT'!AJ128</f>
        <v>2015961.352</v>
      </c>
      <c r="K46" s="28">
        <f>I46/H46-1</f>
        <v>-1.3294648508227258E-2</v>
      </c>
      <c r="L46" s="29">
        <f>I46/AVERAGE(D46:F46)-1</f>
        <v>-0.12523602822531443</v>
      </c>
    </row>
    <row r="47" spans="2:18" ht="13" x14ac:dyDescent="0.35">
      <c r="B47" s="20" t="s">
        <v>112</v>
      </c>
      <c r="C47" s="20" t="s">
        <v>212</v>
      </c>
      <c r="D47" s="65">
        <f>'DATA-HEAT'!AE125</f>
        <v>40854.328999999998</v>
      </c>
      <c r="E47" s="65">
        <f>'DATA-HEAT'!AF125</f>
        <v>40446.298999999999</v>
      </c>
      <c r="F47" s="65">
        <f>'DATA-HEAT'!AG125</f>
        <v>42829.89</v>
      </c>
      <c r="G47" s="65">
        <f>'DATA-HEAT'!AH125</f>
        <v>40371.046999999999</v>
      </c>
      <c r="H47" s="65">
        <f>'DATA-HEAT'!AI125</f>
        <v>37461.49</v>
      </c>
      <c r="I47" s="131">
        <f>'DATA-HEAT'!AJ125</f>
        <v>40600.67</v>
      </c>
      <c r="K47" s="28">
        <f t="shared" ref="K47:K54" si="6">I47/H47-1</f>
        <v>8.3797521134370223E-2</v>
      </c>
      <c r="L47" s="29">
        <f t="shared" ref="L47:L54" si="7">I47/AVERAGE(D47:F47)-1</f>
        <v>-1.8758545742957433E-2</v>
      </c>
    </row>
    <row r="48" spans="2:18" ht="13" x14ac:dyDescent="0.35">
      <c r="B48" s="66"/>
      <c r="C48" s="66" t="s">
        <v>209</v>
      </c>
      <c r="D48" s="56">
        <f>'DATA-HEAT'!AE129</f>
        <v>2304165.8709999998</v>
      </c>
      <c r="E48" s="56">
        <f>'DATA-HEAT'!AF129</f>
        <v>2215589.0120000001</v>
      </c>
      <c r="F48" s="56">
        <f>'DATA-HEAT'!AG129</f>
        <v>2269847.0469999998</v>
      </c>
      <c r="G48" s="56">
        <f>'DATA-HEAT'!AH129</f>
        <v>2084443.63</v>
      </c>
      <c r="H48" s="56">
        <f>'DATA-HEAT'!AI129</f>
        <v>2005662.477</v>
      </c>
      <c r="I48" s="132">
        <f>'DATA-HEAT'!AJ129</f>
        <v>1975360.682</v>
      </c>
      <c r="K48" s="28">
        <f t="shared" si="6"/>
        <v>-1.5108122801062884E-2</v>
      </c>
      <c r="L48" s="29">
        <f t="shared" si="7"/>
        <v>-0.12718269685068251</v>
      </c>
    </row>
    <row r="49" spans="2:12" ht="13" x14ac:dyDescent="0.35">
      <c r="B49" s="26" t="s">
        <v>111</v>
      </c>
      <c r="C49" s="26" t="s">
        <v>49</v>
      </c>
      <c r="D49" s="57">
        <f>'DATA-HEAT'!AE121</f>
        <v>227.077</v>
      </c>
      <c r="E49" s="57">
        <f>'DATA-HEAT'!AF121</f>
        <v>223.43899999999999</v>
      </c>
      <c r="F49" s="57">
        <f>'DATA-HEAT'!AG121</f>
        <v>235.15700000000001</v>
      </c>
      <c r="G49" s="57">
        <f>'DATA-HEAT'!AH121</f>
        <v>232.11</v>
      </c>
      <c r="H49" s="57">
        <f>'DATA-HEAT'!AI121</f>
        <v>235.73500000000001</v>
      </c>
      <c r="I49" s="131">
        <f>'DATA-HEAT'!AJ121</f>
        <v>233.88</v>
      </c>
      <c r="K49" s="28">
        <f t="shared" si="6"/>
        <v>-7.8690054510361929E-3</v>
      </c>
      <c r="L49" s="29">
        <f t="shared" si="7"/>
        <v>2.3286610381333395E-2</v>
      </c>
    </row>
    <row r="50" spans="2:12" ht="13" x14ac:dyDescent="0.35">
      <c r="B50" s="31" t="s">
        <v>112</v>
      </c>
      <c r="C50" s="31" t="s">
        <v>50</v>
      </c>
      <c r="D50" s="32">
        <f>'DATA-HEAT'!AE122</f>
        <v>74.084999999999994</v>
      </c>
      <c r="E50" s="32">
        <f>'DATA-HEAT'!AF122</f>
        <v>68.744</v>
      </c>
      <c r="F50" s="32">
        <f>'DATA-HEAT'!AG122</f>
        <v>73.804000000000002</v>
      </c>
      <c r="G50" s="32">
        <f>'DATA-HEAT'!AH122</f>
        <v>41.744999999999997</v>
      </c>
      <c r="H50" s="32">
        <f>'DATA-HEAT'!AI122</f>
        <v>40.473999999999997</v>
      </c>
      <c r="I50" s="131">
        <f>'DATA-HEAT'!AJ122</f>
        <v>40.844999999999999</v>
      </c>
      <c r="K50" s="28">
        <f t="shared" si="6"/>
        <v>9.1663784157731687E-3</v>
      </c>
      <c r="L50" s="29">
        <f t="shared" si="7"/>
        <v>-0.43436595532536593</v>
      </c>
    </row>
    <row r="51" spans="2:12" ht="13" x14ac:dyDescent="0.35">
      <c r="B51" s="37" t="s">
        <v>112</v>
      </c>
      <c r="C51" s="37" t="s">
        <v>213</v>
      </c>
      <c r="D51" s="34">
        <f>'DATA-HEAT'!AE124</f>
        <v>21881.309000000001</v>
      </c>
      <c r="E51" s="34">
        <f>'DATA-HEAT'!AF124</f>
        <v>21516.396000000001</v>
      </c>
      <c r="F51" s="34">
        <f>'DATA-HEAT'!AG124</f>
        <v>21223.606</v>
      </c>
      <c r="G51" s="34">
        <f>'DATA-HEAT'!AH124</f>
        <v>19235.800999999999</v>
      </c>
      <c r="H51" s="34">
        <f>'DATA-HEAT'!AI124</f>
        <v>16159.897000000001</v>
      </c>
      <c r="I51" s="131">
        <f>'DATA-HEAT'!AJ124</f>
        <v>17481.813999999998</v>
      </c>
      <c r="K51" s="28">
        <f t="shared" si="6"/>
        <v>8.1802315942979043E-2</v>
      </c>
      <c r="L51" s="29">
        <f t="shared" si="7"/>
        <v>-0.1884187864898007</v>
      </c>
    </row>
    <row r="52" spans="2:12" ht="13" x14ac:dyDescent="0.35">
      <c r="B52" s="67"/>
      <c r="C52" s="67" t="s">
        <v>204</v>
      </c>
      <c r="D52" s="56">
        <f>'DATA-HEAT'!AE123</f>
        <v>2282437.554</v>
      </c>
      <c r="E52" s="56">
        <f>'DATA-HEAT'!AF123</f>
        <v>2194227.3110000002</v>
      </c>
      <c r="F52" s="56">
        <f>'DATA-HEAT'!AG123</f>
        <v>2248784.7940000002</v>
      </c>
      <c r="G52" s="56">
        <f>'DATA-HEAT'!AH123</f>
        <v>2065398.1939999999</v>
      </c>
      <c r="H52" s="56">
        <f>'DATA-HEAT'!AI123</f>
        <v>1989697.841</v>
      </c>
      <c r="I52" s="132">
        <f>'DATA-HEAT'!AJ123</f>
        <v>1958071.9029999999</v>
      </c>
      <c r="K52" s="28">
        <f t="shared" si="6"/>
        <v>-1.5894844608217107E-2</v>
      </c>
      <c r="L52" s="29">
        <f t="shared" si="7"/>
        <v>-0.12656907614509882</v>
      </c>
    </row>
    <row r="53" spans="2:12" ht="13" x14ac:dyDescent="0.35">
      <c r="B53" s="20" t="s">
        <v>112</v>
      </c>
      <c r="C53" s="20" t="s">
        <v>207</v>
      </c>
      <c r="D53" s="65">
        <f>'DATA-HEAT'!AE126</f>
        <v>9868.2710000000006</v>
      </c>
      <c r="E53" s="65">
        <f>'DATA-HEAT'!AF126</f>
        <v>35615.353000000003</v>
      </c>
      <c r="F53" s="65">
        <f>'DATA-HEAT'!AG126</f>
        <v>38323.419000000002</v>
      </c>
      <c r="G53" s="65">
        <f>'DATA-HEAT'!AH126</f>
        <v>103594.13</v>
      </c>
      <c r="H53" s="65">
        <f>'DATA-HEAT'!AI126</f>
        <v>101735.311</v>
      </c>
      <c r="I53" s="131">
        <f>'DATA-HEAT'!AJ126</f>
        <v>218046.15100000001</v>
      </c>
      <c r="K53" s="28">
        <f t="shared" si="6"/>
        <v>1.1432691251123224</v>
      </c>
      <c r="L53" s="29">
        <f t="shared" si="7"/>
        <v>6.8052921280136331</v>
      </c>
    </row>
    <row r="54" spans="2:12" ht="13" x14ac:dyDescent="0.35">
      <c r="B54" s="55"/>
      <c r="C54" s="55" t="s">
        <v>208</v>
      </c>
      <c r="D54" s="56">
        <f>'DATA-HEAT'!AE127</f>
        <v>2056887.959</v>
      </c>
      <c r="E54" s="56">
        <f>'DATA-HEAT'!AF127</f>
        <v>1975122.446</v>
      </c>
      <c r="F54" s="56">
        <f>'DATA-HEAT'!AG127</f>
        <v>2004255.625</v>
      </c>
      <c r="G54" s="56">
        <f>'DATA-HEAT'!AH127</f>
        <v>1843054.2590000001</v>
      </c>
      <c r="H54" s="56">
        <f>'DATA-HEAT'!AI127</f>
        <v>1765070.1710000001</v>
      </c>
      <c r="I54" s="132">
        <f>'DATA-HEAT'!AJ127</f>
        <v>1740025.7520000001</v>
      </c>
      <c r="K54" s="28">
        <f t="shared" si="6"/>
        <v>-1.4188908413658718E-2</v>
      </c>
      <c r="L54" s="29">
        <f t="shared" si="7"/>
        <v>-0.13521418206944069</v>
      </c>
    </row>
    <row r="55" spans="2:12" ht="15.5" customHeight="1" x14ac:dyDescent="0.25">
      <c r="B55" s="39" t="s">
        <v>302</v>
      </c>
    </row>
    <row r="56" spans="2:12" ht="16" customHeight="1" x14ac:dyDescent="0.3">
      <c r="B56" s="41" t="s">
        <v>272</v>
      </c>
    </row>
    <row r="59" spans="2:12" x14ac:dyDescent="0.35">
      <c r="D59" s="49"/>
      <c r="E59" s="49"/>
      <c r="F59" s="49"/>
      <c r="G59" s="49"/>
      <c r="H59" s="49"/>
      <c r="I59" s="50"/>
    </row>
    <row r="60" spans="2:12" x14ac:dyDescent="0.35">
      <c r="D60" s="49"/>
      <c r="E60" s="49"/>
      <c r="F60" s="49"/>
      <c r="G60" s="49"/>
      <c r="H60" s="49"/>
      <c r="I60" s="50"/>
    </row>
    <row r="61" spans="2:12" x14ac:dyDescent="0.35">
      <c r="D61" s="49"/>
      <c r="E61" s="49"/>
      <c r="F61" s="49"/>
      <c r="G61" s="49"/>
      <c r="H61" s="49"/>
      <c r="I61" s="50"/>
    </row>
  </sheetData>
  <pageMargins left="0.7" right="0.7" top="0.75" bottom="0.75" header="0.3" footer="0.3"/>
  <ignoredErrors>
    <ignoredError sqref="G30:H30 D30:F30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A1:AO44"/>
  <sheetViews>
    <sheetView workbookViewId="0">
      <selection activeCell="C8" sqref="C8"/>
    </sheetView>
  </sheetViews>
  <sheetFormatPr defaultColWidth="9.1796875" defaultRowHeight="12.5" x14ac:dyDescent="0.35"/>
  <cols>
    <col min="1" max="1" width="21.453125" style="77" bestFit="1" customWidth="1"/>
    <col min="2" max="34" width="10.54296875" style="78" customWidth="1"/>
    <col min="35" max="35" width="9.90625" style="78" bestFit="1" customWidth="1"/>
    <col min="36" max="36" width="10.81640625" style="78" customWidth="1"/>
    <col min="37" max="16384" width="9.1796875" style="78"/>
  </cols>
  <sheetData>
    <row r="1" spans="1:36" x14ac:dyDescent="0.35">
      <c r="B1" s="78" t="s">
        <v>10</v>
      </c>
      <c r="C1" s="78" t="s">
        <v>11</v>
      </c>
      <c r="D1" s="78" t="s">
        <v>12</v>
      </c>
      <c r="E1" s="78" t="s">
        <v>13</v>
      </c>
      <c r="F1" s="78" t="s">
        <v>14</v>
      </c>
      <c r="G1" s="78" t="s">
        <v>15</v>
      </c>
      <c r="H1" s="78" t="s">
        <v>16</v>
      </c>
      <c r="I1" s="78" t="s">
        <v>17</v>
      </c>
      <c r="J1" s="78" t="s">
        <v>18</v>
      </c>
      <c r="K1" s="78" t="s">
        <v>19</v>
      </c>
      <c r="L1" s="78" t="s">
        <v>20</v>
      </c>
      <c r="M1" s="78" t="s">
        <v>21</v>
      </c>
      <c r="N1" s="78" t="s">
        <v>22</v>
      </c>
      <c r="O1" s="78" t="s">
        <v>23</v>
      </c>
      <c r="P1" s="78" t="s">
        <v>24</v>
      </c>
      <c r="Q1" s="78" t="s">
        <v>25</v>
      </c>
      <c r="R1" s="78" t="s">
        <v>26</v>
      </c>
      <c r="S1" s="78" t="s">
        <v>27</v>
      </c>
      <c r="T1" s="78" t="s">
        <v>28</v>
      </c>
      <c r="U1" s="78" t="s">
        <v>29</v>
      </c>
      <c r="V1" s="78" t="s">
        <v>30</v>
      </c>
      <c r="W1" s="78" t="s">
        <v>31</v>
      </c>
      <c r="X1" s="78" t="s">
        <v>32</v>
      </c>
      <c r="Y1" s="78" t="s">
        <v>33</v>
      </c>
      <c r="Z1" s="78" t="s">
        <v>34</v>
      </c>
      <c r="AA1" s="78" t="s">
        <v>35</v>
      </c>
      <c r="AB1" s="78" t="s">
        <v>36</v>
      </c>
      <c r="AC1" s="78" t="s">
        <v>37</v>
      </c>
      <c r="AD1" s="78" t="s">
        <v>38</v>
      </c>
      <c r="AE1" s="78" t="s">
        <v>39</v>
      </c>
      <c r="AF1" s="78" t="s">
        <v>40</v>
      </c>
      <c r="AG1" s="78" t="s">
        <v>41</v>
      </c>
      <c r="AH1" s="78" t="s">
        <v>42</v>
      </c>
      <c r="AI1" s="78">
        <v>2023</v>
      </c>
      <c r="AJ1" s="78">
        <v>2024</v>
      </c>
    </row>
    <row r="2" spans="1:36" x14ac:dyDescent="0.35">
      <c r="A2" s="77" t="s">
        <v>85</v>
      </c>
      <c r="B2" s="79">
        <f>'DATA-GAS'!C50</f>
        <v>5725098</v>
      </c>
      <c r="C2" s="79">
        <f>'DATA-GAS'!D50</f>
        <v>5979866</v>
      </c>
      <c r="D2" s="79">
        <f>'DATA-GAS'!E50</f>
        <v>5898039</v>
      </c>
      <c r="E2" s="79">
        <f>'DATA-GAS'!F50</f>
        <v>6029503</v>
      </c>
      <c r="F2" s="79">
        <f>'DATA-GAS'!G50</f>
        <v>5822606</v>
      </c>
      <c r="G2" s="79">
        <f>'DATA-GAS'!H50</f>
        <v>5920883</v>
      </c>
      <c r="H2" s="79">
        <f>'DATA-GAS'!I50</f>
        <v>6328682</v>
      </c>
      <c r="I2" s="79">
        <f>'DATA-GAS'!J50</f>
        <v>5846591</v>
      </c>
      <c r="J2" s="79">
        <f>'DATA-GAS'!K50</f>
        <v>5584535</v>
      </c>
      <c r="K2" s="79">
        <f>'DATA-GAS'!L50</f>
        <v>5354811</v>
      </c>
      <c r="L2" s="79">
        <f>'DATA-GAS'!M50</f>
        <v>5220993</v>
      </c>
      <c r="M2" s="79">
        <f>'DATA-GAS'!N50</f>
        <v>5323894.2</v>
      </c>
      <c r="N2" s="79">
        <f>'DATA-GAS'!O50</f>
        <v>5254446</v>
      </c>
      <c r="O2" s="79">
        <f>'DATA-GAS'!P50</f>
        <v>5063205</v>
      </c>
      <c r="P2" s="79">
        <f>'DATA-GAS'!Q50</f>
        <v>5489832</v>
      </c>
      <c r="Q2" s="79">
        <f>'DATA-GAS'!R50</f>
        <v>5169244.7929999996</v>
      </c>
      <c r="R2" s="79">
        <f>'DATA-GAS'!S50</f>
        <v>5139797.0920000002</v>
      </c>
      <c r="S2" s="79">
        <f>'DATA-GAS'!T50</f>
        <v>4892409.5140000004</v>
      </c>
      <c r="T2" s="79">
        <f>'DATA-GAS'!U50</f>
        <v>5139129.7740000002</v>
      </c>
      <c r="U2" s="79">
        <f>'DATA-GAS'!V50</f>
        <v>4800481.7429999998</v>
      </c>
      <c r="V2" s="79">
        <f>'DATA-GAS'!W50</f>
        <v>5094121.4479999999</v>
      </c>
      <c r="W2" s="79">
        <f>'DATA-GAS'!X50</f>
        <v>4785671.8150000004</v>
      </c>
      <c r="X2" s="79">
        <f>'DATA-GAS'!Y50</f>
        <v>4624287.4309999999</v>
      </c>
      <c r="Y2" s="79">
        <f>'DATA-GAS'!Z50</f>
        <v>4626963.9840000002</v>
      </c>
      <c r="Z2" s="79">
        <f>'DATA-GAS'!AA50</f>
        <v>3994521.1540000001</v>
      </c>
      <c r="AA2" s="79">
        <f>'DATA-GAS'!AB50</f>
        <v>3367206.4109999998</v>
      </c>
      <c r="AB2" s="79">
        <f>'DATA-GAS'!AC50</f>
        <v>3323484.372</v>
      </c>
      <c r="AC2" s="79">
        <f>'DATA-GAS'!AD50</f>
        <v>3094574.7039999999</v>
      </c>
      <c r="AD2" s="79">
        <f>'DATA-GAS'!AE50</f>
        <v>2756147.088</v>
      </c>
      <c r="AE2" s="79">
        <f>'DATA-GAS'!AF50</f>
        <v>2423437.6680000001</v>
      </c>
      <c r="AF2" s="79">
        <f>'DATA-GAS'!AG50</f>
        <v>1914793.959</v>
      </c>
      <c r="AG2" s="79">
        <f>'DATA-GAS'!AH50</f>
        <v>1761550.284</v>
      </c>
      <c r="AH2" s="79">
        <f>'DATA-GAS'!AI50</f>
        <v>1620697.497</v>
      </c>
      <c r="AI2" s="79">
        <f>'DATA-GAS'!AJ50</f>
        <v>1361966.077</v>
      </c>
      <c r="AJ2" s="79">
        <f>'DATA-GAS'!AK50</f>
        <v>1293679.9310000001</v>
      </c>
    </row>
    <row r="3" spans="1:36" x14ac:dyDescent="0.35">
      <c r="A3" s="77" t="s">
        <v>86</v>
      </c>
      <c r="B3" s="80">
        <f>'DATA-GAS'!C52-'DATA-GAS'!C53</f>
        <v>6024006</v>
      </c>
      <c r="C3" s="80">
        <f>'DATA-GAS'!D52-'DATA-GAS'!D53</f>
        <v>5930150</v>
      </c>
      <c r="D3" s="80">
        <f>'DATA-GAS'!E52-'DATA-GAS'!E53</f>
        <v>5830842</v>
      </c>
      <c r="E3" s="80">
        <f>'DATA-GAS'!F52-'DATA-GAS'!F53</f>
        <v>5707727</v>
      </c>
      <c r="F3" s="80">
        <f>'DATA-GAS'!G52-'DATA-GAS'!G53</f>
        <v>5953135</v>
      </c>
      <c r="G3" s="80">
        <f>'DATA-GAS'!H52-'DATA-GAS'!H53</f>
        <v>6742239</v>
      </c>
      <c r="H3" s="80">
        <f>'DATA-GAS'!I52-'DATA-GAS'!I53</f>
        <v>7435060</v>
      </c>
      <c r="I3" s="80">
        <f>'DATA-GAS'!J52-'DATA-GAS'!J53</f>
        <v>7628410</v>
      </c>
      <c r="J3" s="80">
        <f>'DATA-GAS'!K52-'DATA-GAS'!K53</f>
        <v>7994051</v>
      </c>
      <c r="K3" s="80">
        <f>'DATA-GAS'!L52-'DATA-GAS'!L53</f>
        <v>8823126</v>
      </c>
      <c r="L3" s="80">
        <f>'DATA-GAS'!M52-'DATA-GAS'!M53</f>
        <v>9434844.0069999993</v>
      </c>
      <c r="M3" s="80">
        <f>'DATA-GAS'!N52-'DATA-GAS'!N53</f>
        <v>9294194.3999999985</v>
      </c>
      <c r="N3" s="80">
        <f>'DATA-GAS'!O52-'DATA-GAS'!O53</f>
        <v>9989944</v>
      </c>
      <c r="O3" s="80">
        <f>'DATA-GAS'!P52-'DATA-GAS'!P53</f>
        <v>10608428</v>
      </c>
      <c r="P3" s="80">
        <f>'DATA-GAS'!Q52-'DATA-GAS'!Q53</f>
        <v>10792924</v>
      </c>
      <c r="Q3" s="80">
        <f>'DATA-GAS'!R52-'DATA-GAS'!R53</f>
        <v>11541838.289999999</v>
      </c>
      <c r="R3" s="80">
        <f>'DATA-GAS'!S52-'DATA-GAS'!S53</f>
        <v>11900122.001</v>
      </c>
      <c r="S3" s="80">
        <f>'DATA-GAS'!T52-'DATA-GAS'!T53</f>
        <v>11274964.971000001</v>
      </c>
      <c r="T3" s="80">
        <f>'DATA-GAS'!U52-'DATA-GAS'!U53</f>
        <v>11720205.141000001</v>
      </c>
      <c r="U3" s="80">
        <f>'DATA-GAS'!V52-'DATA-GAS'!V53</f>
        <v>11100969.709000001</v>
      </c>
      <c r="V3" s="80">
        <f>'DATA-GAS'!W52-'DATA-GAS'!W53</f>
        <v>11435403.630000001</v>
      </c>
      <c r="W3" s="80">
        <f>'DATA-GAS'!X52-'DATA-GAS'!X53</f>
        <v>11110480.927000001</v>
      </c>
      <c r="X3" s="80">
        <f>'DATA-GAS'!Y52-'DATA-GAS'!Y53</f>
        <v>10544594.892999999</v>
      </c>
      <c r="Y3" s="80">
        <f>'DATA-GAS'!Z52-'DATA-GAS'!Z53</f>
        <v>10206049.427999999</v>
      </c>
      <c r="Z3" s="80">
        <f>'DATA-GAS'!AA52-'DATA-GAS'!AA53</f>
        <v>9482961.2600000016</v>
      </c>
      <c r="AA3" s="80">
        <f>'DATA-GAS'!AB52-'DATA-GAS'!AB53</f>
        <v>10258242.981000001</v>
      </c>
      <c r="AB3" s="80">
        <f>'DATA-GAS'!AC52-'DATA-GAS'!AC53</f>
        <v>11031711.392999999</v>
      </c>
      <c r="AC3" s="80">
        <f>'DATA-GAS'!AD52-'DATA-GAS'!AD53</f>
        <v>12341636.199999999</v>
      </c>
      <c r="AD3" s="80">
        <f>'DATA-GAS'!AE52-'DATA-GAS'!AE53</f>
        <v>12578838.768999999</v>
      </c>
      <c r="AE3" s="80">
        <f>'DATA-GAS'!AF52-'DATA-GAS'!AF53</f>
        <v>13978073.950999999</v>
      </c>
      <c r="AF3" s="80">
        <f>'DATA-GAS'!AG52-'DATA-GAS'!AG53</f>
        <v>12705233.846999999</v>
      </c>
      <c r="AG3" s="80">
        <f>'DATA-GAS'!AH52-'DATA-GAS'!AH53</f>
        <v>13200085.323000001</v>
      </c>
      <c r="AH3" s="80">
        <f>'DATA-GAS'!AI52-'DATA-GAS'!AI53</f>
        <v>13360173.515999999</v>
      </c>
      <c r="AI3" s="80">
        <f>'DATA-GAS'!AJ52-'DATA-GAS'!AJ53</f>
        <v>11424911.988</v>
      </c>
      <c r="AJ3" s="80">
        <f>'DATA-GAS'!AK52-'DATA-GAS'!AK53</f>
        <v>10848297.071</v>
      </c>
    </row>
    <row r="4" spans="1:36" x14ac:dyDescent="0.35">
      <c r="A4" s="77" t="s">
        <v>84</v>
      </c>
      <c r="B4" s="80">
        <f>'DATA-GAS'!C51</f>
        <v>112</v>
      </c>
      <c r="C4" s="80">
        <f>'DATA-GAS'!D51</f>
        <v>190</v>
      </c>
      <c r="D4" s="80">
        <f>'DATA-GAS'!E51</f>
        <v>540</v>
      </c>
      <c r="E4" s="80">
        <f>'DATA-GAS'!F51</f>
        <v>513</v>
      </c>
      <c r="F4" s="80">
        <f>'DATA-GAS'!G51</f>
        <v>452</v>
      </c>
      <c r="G4" s="80">
        <f>'DATA-GAS'!H51</f>
        <v>443</v>
      </c>
      <c r="H4" s="80">
        <f>'DATA-GAS'!I51</f>
        <v>436</v>
      </c>
      <c r="I4" s="80">
        <f>'DATA-GAS'!J51</f>
        <v>418</v>
      </c>
      <c r="J4" s="80">
        <f>'DATA-GAS'!K51</f>
        <v>472</v>
      </c>
      <c r="K4" s="80">
        <f>'DATA-GAS'!L51</f>
        <v>570</v>
      </c>
      <c r="L4" s="80">
        <f>'DATA-GAS'!M51</f>
        <v>610</v>
      </c>
      <c r="M4" s="80">
        <f>'DATA-GAS'!N51</f>
        <v>536</v>
      </c>
      <c r="N4" s="80">
        <f>'DATA-GAS'!O51</f>
        <v>460</v>
      </c>
      <c r="O4" s="80">
        <f>'DATA-GAS'!P51</f>
        <v>351</v>
      </c>
      <c r="P4" s="80">
        <f>'DATA-GAS'!Q51</f>
        <v>484</v>
      </c>
      <c r="Q4" s="80">
        <f>'DATA-GAS'!R51</f>
        <v>496</v>
      </c>
      <c r="R4" s="80">
        <f>'DATA-GAS'!S51</f>
        <v>998</v>
      </c>
      <c r="S4" s="80">
        <f>'DATA-GAS'!T51</f>
        <v>1300</v>
      </c>
      <c r="T4" s="80">
        <f>'DATA-GAS'!U51</f>
        <v>1722</v>
      </c>
      <c r="U4" s="80">
        <f>'DATA-GAS'!V51</f>
        <v>1712</v>
      </c>
      <c r="V4" s="80">
        <f>'DATA-GAS'!W51</f>
        <v>1443</v>
      </c>
      <c r="W4" s="80">
        <f>'DATA-GAS'!X51</f>
        <v>2253.5509999999999</v>
      </c>
      <c r="X4" s="80">
        <f>'DATA-GAS'!Y51</f>
        <v>3355.59</v>
      </c>
      <c r="Y4" s="80">
        <f>'DATA-GAS'!Z51</f>
        <v>4632.1220000000003</v>
      </c>
      <c r="Z4" s="80">
        <f>'DATA-GAS'!AA51</f>
        <v>6044.9809999999998</v>
      </c>
      <c r="AA4" s="80">
        <f>'DATA-GAS'!AB51</f>
        <v>6148.5110000000004</v>
      </c>
      <c r="AB4" s="80">
        <f>'DATA-GAS'!AC51</f>
        <v>9315.1810000000005</v>
      </c>
      <c r="AC4" s="80">
        <f>'DATA-GAS'!AD51</f>
        <v>13640.647999999999</v>
      </c>
      <c r="AD4" s="80">
        <f>'DATA-GAS'!AE51</f>
        <v>17939.226999999999</v>
      </c>
      <c r="AE4" s="80">
        <f>'DATA-GAS'!AF51</f>
        <v>25399.144</v>
      </c>
      <c r="AF4" s="80">
        <f>'DATA-GAS'!AG51</f>
        <v>38526.519999999997</v>
      </c>
      <c r="AG4" s="80">
        <f>'DATA-GAS'!AH51</f>
        <v>94350.95</v>
      </c>
      <c r="AH4" s="80">
        <f>'DATA-GAS'!AI51</f>
        <v>113138.928</v>
      </c>
      <c r="AI4" s="80">
        <f>'DATA-GAS'!AJ51</f>
        <v>132387.20499999999</v>
      </c>
      <c r="AJ4" s="80">
        <f>'DATA-GAS'!AK51</f>
        <v>148226.978</v>
      </c>
    </row>
    <row r="5" spans="1:36" ht="18.649999999999999" customHeight="1" x14ac:dyDescent="0.3">
      <c r="A5" s="20" t="s">
        <v>237</v>
      </c>
      <c r="D5" s="75"/>
      <c r="F5" s="75"/>
      <c r="G5" s="75" t="s">
        <v>264</v>
      </c>
      <c r="AJ5" s="81">
        <f>AJ3/SUM(AJ2:AJ4)</f>
        <v>0.88267835819922658</v>
      </c>
    </row>
    <row r="7" spans="1:36" x14ac:dyDescent="0.35">
      <c r="B7" s="78" t="s">
        <v>25</v>
      </c>
      <c r="C7" s="78" t="s">
        <v>26</v>
      </c>
      <c r="D7" s="78" t="s">
        <v>27</v>
      </c>
      <c r="E7" s="78" t="s">
        <v>28</v>
      </c>
      <c r="F7" s="78" t="s">
        <v>29</v>
      </c>
      <c r="G7" s="78" t="s">
        <v>30</v>
      </c>
      <c r="H7" s="78" t="s">
        <v>31</v>
      </c>
      <c r="I7" s="78" t="s">
        <v>32</v>
      </c>
      <c r="J7" s="78" t="s">
        <v>33</v>
      </c>
      <c r="K7" s="78" t="s">
        <v>34</v>
      </c>
      <c r="L7" s="78" t="s">
        <v>35</v>
      </c>
      <c r="M7" s="78" t="s">
        <v>36</v>
      </c>
      <c r="N7" s="78" t="s">
        <v>37</v>
      </c>
      <c r="O7" s="78" t="s">
        <v>38</v>
      </c>
      <c r="P7" s="78" t="s">
        <v>39</v>
      </c>
      <c r="Q7" s="78" t="s">
        <v>40</v>
      </c>
      <c r="R7" s="78" t="s">
        <v>41</v>
      </c>
      <c r="S7" s="78" t="s">
        <v>42</v>
      </c>
      <c r="T7" s="78">
        <v>2023</v>
      </c>
      <c r="U7" s="78">
        <v>2024</v>
      </c>
    </row>
    <row r="8" spans="1:36" x14ac:dyDescent="0.35">
      <c r="A8" s="77" t="s">
        <v>54</v>
      </c>
      <c r="B8" s="82">
        <f>100*'DATA-COAL'!R28/'DATA-COAL'!$R$28</f>
        <v>100</v>
      </c>
      <c r="C8" s="82">
        <f>100*'DATA-COAL'!S28/'DATA-COAL'!$R$28</f>
        <v>104.03395145457195</v>
      </c>
      <c r="D8" s="82">
        <f>100*'DATA-COAL'!T28/'DATA-COAL'!$R$28</f>
        <v>105.37458212755945</v>
      </c>
      <c r="E8" s="82">
        <f>100*'DATA-COAL'!U28/'DATA-COAL'!$R$28</f>
        <v>95.870797735635833</v>
      </c>
      <c r="F8" s="82">
        <f>100*'DATA-COAL'!V28/'DATA-COAL'!$R$28</f>
        <v>81.952577160231144</v>
      </c>
      <c r="G8" s="82">
        <f>100*'DATA-COAL'!W28/'DATA-COAL'!$R$28</f>
        <v>88.514017056164249</v>
      </c>
      <c r="H8" s="82">
        <f>100*'DATA-COAL'!X28/'DATA-COAL'!$R$28</f>
        <v>89.78933579677286</v>
      </c>
      <c r="I8" s="82">
        <f>100*'DATA-COAL'!Y28/'DATA-COAL'!$R$28</f>
        <v>89.554384477963723</v>
      </c>
      <c r="J8" s="82">
        <f>100*'DATA-COAL'!Z28/'DATA-COAL'!$R$28</f>
        <v>88.274112742753402</v>
      </c>
      <c r="K8" s="82">
        <f>100*'DATA-COAL'!AA28/'DATA-COAL'!$R$28</f>
        <v>83.276121427067281</v>
      </c>
      <c r="L8" s="82">
        <f>100*'DATA-COAL'!AB28/'DATA-COAL'!$R$28</f>
        <v>84.169737889806029</v>
      </c>
      <c r="M8" s="82">
        <f>100*'DATA-COAL'!AC28/'DATA-COAL'!$R$28</f>
        <v>81.699898084229474</v>
      </c>
      <c r="N8" s="82">
        <f>100*'DATA-COAL'!AD28/'DATA-COAL'!$R$28</f>
        <v>78.775851095906731</v>
      </c>
      <c r="O8" s="82">
        <f>100*'DATA-COAL'!AE28/'DATA-COAL'!$R$28</f>
        <v>75.083232094883797</v>
      </c>
      <c r="P8" s="82">
        <f>100*'DATA-COAL'!AF28/'DATA-COAL'!$R$28</f>
        <v>60.688095419787132</v>
      </c>
      <c r="Q8" s="82">
        <f>100*'DATA-COAL'!AG28/'DATA-COAL'!$R$28</f>
        <v>49.162721984490247</v>
      </c>
      <c r="R8" s="82">
        <f>100*'DATA-COAL'!AH28/'DATA-COAL'!$R$28</f>
        <v>56.402929477093799</v>
      </c>
      <c r="S8" s="82">
        <f>100*'DATA-COAL'!AI28/'DATA-COAL'!$R$28</f>
        <v>55.532908624565749</v>
      </c>
      <c r="T8" s="82">
        <f>100*'DATA-COAL'!AJ28/'DATA-COAL'!$R$28</f>
        <v>43.684205357644352</v>
      </c>
      <c r="U8" s="82">
        <f>100*'DATA-COAL'!AK28/'DATA-COAL'!$R$28</f>
        <v>37.640808451424043</v>
      </c>
    </row>
    <row r="9" spans="1:36" x14ac:dyDescent="0.35">
      <c r="A9" s="77" t="s">
        <v>58</v>
      </c>
      <c r="B9" s="82">
        <f>100*'DATA-COAL'!R56/'DATA-COAL'!$R$56</f>
        <v>100.00000000000001</v>
      </c>
      <c r="C9" s="82">
        <f>100*'DATA-COAL'!S56/'DATA-COAL'!$R$56</f>
        <v>99.127383737781045</v>
      </c>
      <c r="D9" s="82">
        <f>100*'DATA-COAL'!T56/'DATA-COAL'!$R$56</f>
        <v>99.915579226712893</v>
      </c>
      <c r="E9" s="82">
        <f>100*'DATA-COAL'!U56/'DATA-COAL'!$R$56</f>
        <v>96.618690468998238</v>
      </c>
      <c r="F9" s="82">
        <f>100*'DATA-COAL'!V56/'DATA-COAL'!$R$56</f>
        <v>93.388827704252463</v>
      </c>
      <c r="G9" s="82">
        <f>100*'DATA-COAL'!W56/'DATA-COAL'!$R$56</f>
        <v>91.230145644382901</v>
      </c>
      <c r="H9" s="82">
        <f>100*'DATA-COAL'!X56/'DATA-COAL'!$R$56</f>
        <v>98.282602031962199</v>
      </c>
      <c r="I9" s="82">
        <f>100*'DATA-COAL'!Y56/'DATA-COAL'!$R$56</f>
        <v>98.95464002515979</v>
      </c>
      <c r="J9" s="82">
        <f>100*'DATA-COAL'!Z56/'DATA-COAL'!$R$56</f>
        <v>93.24881901542939</v>
      </c>
      <c r="K9" s="82">
        <f>100*'DATA-COAL'!AA56/'DATA-COAL'!$R$56</f>
        <v>91.050736150838574</v>
      </c>
      <c r="L9" s="82">
        <f>100*'DATA-COAL'!AB56/'DATA-COAL'!$R$56</f>
        <v>90.226895286578667</v>
      </c>
      <c r="M9" s="82">
        <f>100*'DATA-COAL'!AC56/'DATA-COAL'!$R$56</f>
        <v>84.106800466158191</v>
      </c>
      <c r="N9" s="82">
        <f>100*'DATA-COAL'!AD56/'DATA-COAL'!$R$56</f>
        <v>86.227220048793654</v>
      </c>
      <c r="O9" s="82">
        <f>100*'DATA-COAL'!AE56/'DATA-COAL'!$R$56</f>
        <v>83.278028489802651</v>
      </c>
      <c r="P9" s="82">
        <f>100*'DATA-COAL'!AF56/'DATA-COAL'!$R$56</f>
        <v>69.000999882796336</v>
      </c>
      <c r="Q9" s="82">
        <f>100*'DATA-COAL'!AG56/'DATA-COAL'!$R$56</f>
        <v>55.432149433154628</v>
      </c>
      <c r="R9" s="82">
        <f>100*'DATA-COAL'!AH56/'DATA-COAL'!$R$56</f>
        <v>62.344597131910866</v>
      </c>
      <c r="S9" s="82">
        <f>100*'DATA-COAL'!AI56/'DATA-COAL'!$R$56</f>
        <v>65.721520221170977</v>
      </c>
      <c r="T9" s="82">
        <f>100*'DATA-COAL'!AJ56/'DATA-COAL'!$R$56</f>
        <v>49.528074006685074</v>
      </c>
      <c r="U9" s="82">
        <f>100*'DATA-COAL'!AK56/'DATA-COAL'!$R$56</f>
        <v>44.580675931972408</v>
      </c>
    </row>
    <row r="10" spans="1:36" x14ac:dyDescent="0.35">
      <c r="A10" s="77" t="s">
        <v>81</v>
      </c>
      <c r="B10" s="82">
        <f>100*'DATA-GAS'!R56/'DATA-GAS'!$R$56</f>
        <v>100</v>
      </c>
      <c r="C10" s="82">
        <f>100*'DATA-GAS'!S56/'DATA-GAS'!$R$56</f>
        <v>99.416702922195313</v>
      </c>
      <c r="D10" s="82">
        <f>100*'DATA-GAS'!T56/'DATA-GAS'!$R$56</f>
        <v>98.149211628753321</v>
      </c>
      <c r="E10" s="82">
        <f>100*'DATA-GAS'!U56/'DATA-GAS'!$R$56</f>
        <v>99.899888458959779</v>
      </c>
      <c r="F10" s="82">
        <f>100*'DATA-GAS'!V56/'DATA-GAS'!$R$56</f>
        <v>93.884907169248251</v>
      </c>
      <c r="G10" s="82">
        <f>100*'DATA-GAS'!W56/'DATA-GAS'!$R$56</f>
        <v>100.87435878882451</v>
      </c>
      <c r="H10" s="82">
        <f>100*'DATA-GAS'!X56/'DATA-GAS'!$R$56</f>
        <v>92.72814990517854</v>
      </c>
      <c r="I10" s="82">
        <f>100*'DATA-GAS'!Y56/'DATA-GAS'!$R$56</f>
        <v>90.890944368955147</v>
      </c>
      <c r="J10" s="82">
        <f>100*'DATA-GAS'!Z56/'DATA-GAS'!$R$56</f>
        <v>89.329161163516943</v>
      </c>
      <c r="K10" s="82">
        <f>100*'DATA-GAS'!AA56/'DATA-GAS'!$R$56</f>
        <v>78.811555107251763</v>
      </c>
      <c r="L10" s="82">
        <f>100*'DATA-GAS'!AB56/'DATA-GAS'!$R$56</f>
        <v>82.316562420887095</v>
      </c>
      <c r="M10" s="82">
        <f>100*'DATA-GAS'!AC56/'DATA-GAS'!$R$56</f>
        <v>87.1368217042845</v>
      </c>
      <c r="N10" s="82">
        <f>100*'DATA-GAS'!AD56/'DATA-GAS'!$R$56</f>
        <v>92.05608236808294</v>
      </c>
      <c r="O10" s="82">
        <f>100*'DATA-GAS'!AE56/'DATA-GAS'!$R$56</f>
        <v>90.374587942070562</v>
      </c>
      <c r="P10" s="82">
        <f>100*'DATA-GAS'!AF56/'DATA-GAS'!$R$56</f>
        <v>93.269222712291338</v>
      </c>
      <c r="Q10" s="82">
        <f>100*'DATA-GAS'!AG56/'DATA-GAS'!$R$56</f>
        <v>91.01519004637359</v>
      </c>
      <c r="R10" s="82">
        <f>100*'DATA-GAS'!AH56/'DATA-GAS'!$R$56</f>
        <v>94.72161605578863</v>
      </c>
      <c r="S10" s="82">
        <f>100*'DATA-GAS'!AI56/'DATA-GAS'!$R$56</f>
        <v>82.502600910579005</v>
      </c>
      <c r="T10" s="82">
        <f>100*'DATA-GAS'!AJ56/'DATA-GAS'!$R$56</f>
        <v>76.474792015662274</v>
      </c>
      <c r="U10" s="82">
        <f>100*'DATA-GAS'!AK56/'DATA-GAS'!$R$56</f>
        <v>76.717228736108851</v>
      </c>
    </row>
    <row r="11" spans="1:36" x14ac:dyDescent="0.35">
      <c r="A11" s="77" t="s">
        <v>114</v>
      </c>
      <c r="B11" s="82">
        <f>100*'DATA-OIL'!R82/'DATA-OIL'!$R$82</f>
        <v>100</v>
      </c>
      <c r="C11" s="82">
        <f>100*'DATA-OIL'!S82/'DATA-OIL'!$R$82</f>
        <v>100.15294214099292</v>
      </c>
      <c r="D11" s="82">
        <f>100*'DATA-OIL'!T82/'DATA-OIL'!$R$82</f>
        <v>97.537926210207175</v>
      </c>
      <c r="E11" s="82">
        <f>100*'DATA-OIL'!U82/'DATA-OIL'!$R$82</f>
        <v>98.081493740586993</v>
      </c>
      <c r="F11" s="82">
        <f>100*'DATA-OIL'!V82/'DATA-OIL'!$R$82</f>
        <v>93.263611850994181</v>
      </c>
      <c r="G11" s="82">
        <f>100*'DATA-OIL'!W82/'DATA-OIL'!$R$82</f>
        <v>93.214250912472082</v>
      </c>
      <c r="H11" s="82">
        <f>100*'DATA-OIL'!X82/'DATA-OIL'!$R$82</f>
        <v>90.927688289163925</v>
      </c>
      <c r="I11" s="82">
        <f>100*'DATA-OIL'!Y82/'DATA-OIL'!$R$82</f>
        <v>87.470494198299789</v>
      </c>
      <c r="J11" s="82">
        <f>100*'DATA-OIL'!Z82/'DATA-OIL'!$R$82</f>
        <v>84.708931890401956</v>
      </c>
      <c r="K11" s="82">
        <f>100*'DATA-OIL'!AA82/'DATA-OIL'!$R$82</f>
        <v>84.578938783065311</v>
      </c>
      <c r="L11" s="82">
        <f>100*'DATA-OIL'!AB82/'DATA-OIL'!$R$82</f>
        <v>85.910329040082161</v>
      </c>
      <c r="M11" s="82">
        <f>100*'DATA-OIL'!AC82/'DATA-OIL'!$R$82</f>
        <v>86.47812507787738</v>
      </c>
      <c r="N11" s="82">
        <f>100*'DATA-OIL'!AD82/'DATA-OIL'!$R$82</f>
        <v>89.301858754389045</v>
      </c>
      <c r="O11" s="82">
        <f>100*'DATA-OIL'!AE82/'DATA-OIL'!$R$82</f>
        <v>88.682793890998724</v>
      </c>
      <c r="P11" s="82">
        <f>100*'DATA-OIL'!AF82/'DATA-OIL'!$R$82</f>
        <v>88.746853887707744</v>
      </c>
      <c r="Q11" s="82">
        <f>100*'DATA-OIL'!AG82/'DATA-OIL'!$R$82</f>
        <v>77.731938478086903</v>
      </c>
      <c r="R11" s="82">
        <f>100*'DATA-OIL'!AH82/'DATA-OIL'!$R$82</f>
        <v>81.261539014342446</v>
      </c>
      <c r="S11" s="82">
        <f>100*'DATA-OIL'!AI82/'DATA-OIL'!$R$82</f>
        <v>83.017956009908914</v>
      </c>
      <c r="T11" s="82">
        <f>100*'DATA-OIL'!AJ82/'DATA-OIL'!$R$82</f>
        <v>81.966242845813554</v>
      </c>
      <c r="U11" s="82">
        <f>100*'DATA-OIL'!AK82/'DATA-OIL'!$R$82</f>
        <v>80.96587803975882</v>
      </c>
    </row>
    <row r="12" spans="1:36" x14ac:dyDescent="0.35">
      <c r="A12" s="77" t="s">
        <v>181</v>
      </c>
      <c r="B12" s="82">
        <f>100*'DATA-ELE'!Q35/'DATA-ELE'!$Q$35</f>
        <v>100</v>
      </c>
      <c r="C12" s="82">
        <f>100*'DATA-ELE'!R35/'DATA-ELE'!$Q$35</f>
        <v>99.819339119575673</v>
      </c>
      <c r="D12" s="82">
        <f>100*'DATA-ELE'!S35/'DATA-ELE'!$Q$35</f>
        <v>95.215270265402296</v>
      </c>
      <c r="E12" s="82">
        <f>100*'DATA-ELE'!T35/'DATA-ELE'!$Q$35</f>
        <v>96.577595212650408</v>
      </c>
      <c r="F12" s="82">
        <f>100*'DATA-ELE'!U35/'DATA-ELE'!$Q$35</f>
        <v>90.047932442655181</v>
      </c>
      <c r="G12" s="82">
        <f>100*'DATA-ELE'!V35/'DATA-ELE'!$Q$35</f>
        <v>93.274503018837848</v>
      </c>
      <c r="H12" s="82">
        <f>100*'DATA-ELE'!W35/'DATA-ELE'!$Q$35</f>
        <v>91.451385084943354</v>
      </c>
      <c r="I12" s="82">
        <f>100*'DATA-ELE'!X35/'DATA-ELE'!$Q$35</f>
        <v>88.634194683657896</v>
      </c>
      <c r="J12" s="82">
        <f>100*'DATA-ELE'!Y35/'DATA-ELE'!$Q$35</f>
        <v>88.007793088165784</v>
      </c>
      <c r="K12" s="82">
        <f>100*'DATA-ELE'!Z35/'DATA-ELE'!$Q$35</f>
        <v>88.698489434886213</v>
      </c>
      <c r="L12" s="82">
        <f>100*'DATA-ELE'!AA35/'DATA-ELE'!$Q$35</f>
        <v>85.874049238004076</v>
      </c>
      <c r="M12" s="82">
        <f>100*'DATA-ELE'!AB35/'DATA-ELE'!$Q$35</f>
        <v>83.830879583792267</v>
      </c>
      <c r="N12" s="82">
        <f>100*'DATA-ELE'!AC35/'DATA-ELE'!$Q$35</f>
        <v>82.894705053374096</v>
      </c>
      <c r="O12" s="82">
        <f>100*'DATA-ELE'!AD35/'DATA-ELE'!$Q$35</f>
        <v>83.17420053466887</v>
      </c>
      <c r="P12" s="82">
        <f>100*'DATA-ELE'!AE35/'DATA-ELE'!$Q$35</f>
        <v>83.544779992162276</v>
      </c>
      <c r="Q12" s="82">
        <f>100*'DATA-ELE'!AF35/'DATA-ELE'!$Q$35</f>
        <v>74.612631961584185</v>
      </c>
      <c r="R12" s="82">
        <f>100*'DATA-ELE'!AG35/'DATA-ELE'!$Q$35</f>
        <v>79.872936235987865</v>
      </c>
      <c r="S12" s="82">
        <f>100*'DATA-ELE'!AH35/'DATA-ELE'!$Q$35</f>
        <v>66.506727680194217</v>
      </c>
      <c r="T12" s="82">
        <f>100*'DATA-ELE'!AI35/'DATA-ELE'!$Q$35</f>
        <v>67.636083599594357</v>
      </c>
      <c r="U12" s="82">
        <f>100*'DATA-ELE'!AJ35/'DATA-ELE'!$Q$35</f>
        <v>70.873957870537637</v>
      </c>
    </row>
    <row r="13" spans="1:36" x14ac:dyDescent="0.35">
      <c r="A13" s="77" t="s">
        <v>158</v>
      </c>
      <c r="B13" s="82">
        <f>100*('DATA-ELE'!Q17-'DATA-ELE'!Q21-'DATA-ELE'!Q22)/('DATA-ELE'!$Q$17-'DATA-ELE'!$Q$21-'DATA-ELE'!$Q$22)</f>
        <v>100</v>
      </c>
      <c r="C13" s="82">
        <f>100*('DATA-ELE'!R17-'DATA-ELE'!R21-'DATA-ELE'!R22)/('DATA-ELE'!$Q$17-'DATA-ELE'!$Q$21-'DATA-ELE'!$Q$22)</f>
        <v>100.96962501381786</v>
      </c>
      <c r="D13" s="82">
        <f>100*('DATA-ELE'!S17-'DATA-ELE'!S21-'DATA-ELE'!S22)/('DATA-ELE'!$Q$17-'DATA-ELE'!$Q$21-'DATA-ELE'!$Q$22)</f>
        <v>100.22616296231845</v>
      </c>
      <c r="E13" s="82">
        <f>100*('DATA-ELE'!T17-'DATA-ELE'!T21-'DATA-ELE'!T22)/('DATA-ELE'!$Q$17-'DATA-ELE'!$Q$21-'DATA-ELE'!$Q$22)</f>
        <v>106.05576276938227</v>
      </c>
      <c r="F13" s="82">
        <f>100*('DATA-ELE'!U17-'DATA-ELE'!U21-'DATA-ELE'!U22)/('DATA-ELE'!$Q$17-'DATA-ELE'!$Q$21-'DATA-ELE'!$Q$22)</f>
        <v>107.1624107232564</v>
      </c>
      <c r="G13" s="82">
        <f>100*('DATA-ELE'!V17-'DATA-ELE'!V21-'DATA-ELE'!V22)/('DATA-ELE'!$Q$17-'DATA-ELE'!$Q$21-'DATA-ELE'!$Q$22)</f>
        <v>121.11121319202233</v>
      </c>
      <c r="H13" s="82">
        <f>100*('DATA-ELE'!W17-'DATA-ELE'!W21-'DATA-ELE'!W22)/('DATA-ELE'!$Q$17-'DATA-ELE'!$Q$21-'DATA-ELE'!$Q$22)</f>
        <v>100.13494223533078</v>
      </c>
      <c r="I13" s="82">
        <f>100*('DATA-ELE'!X17-'DATA-ELE'!X21-'DATA-ELE'!X22)/('DATA-ELE'!$Q$17-'DATA-ELE'!$Q$21-'DATA-ELE'!$Q$22)</f>
        <v>108.03288859344703</v>
      </c>
      <c r="J13" s="82">
        <f>100*('DATA-ELE'!Y17-'DATA-ELE'!Y21-'DATA-ELE'!Y22)/('DATA-ELE'!$Q$17-'DATA-ELE'!$Q$21-'DATA-ELE'!$Q$22)</f>
        <v>119.86993960347384</v>
      </c>
      <c r="K13" s="82">
        <f>100*('DATA-ELE'!Z17-'DATA-ELE'!Z21-'DATA-ELE'!Z22)/('DATA-ELE'!$Q$17-'DATA-ELE'!$Q$21-'DATA-ELE'!$Q$22)</f>
        <v>120.53299062550015</v>
      </c>
      <c r="L13" s="82">
        <f>100*('DATA-ELE'!AA17-'DATA-ELE'!AA21-'DATA-ELE'!AA22)/('DATA-ELE'!$Q$17-'DATA-ELE'!$Q$21-'DATA-ELE'!$Q$22)</f>
        <v>109.43845414504948</v>
      </c>
      <c r="M13" s="82">
        <f>100*('DATA-ELE'!AB17-'DATA-ELE'!AB21-'DATA-ELE'!AB22)/('DATA-ELE'!$Q$17-'DATA-ELE'!$Q$21-'DATA-ELE'!$Q$22)</f>
        <v>112.56691486790102</v>
      </c>
      <c r="N13" s="82">
        <f>100*('DATA-ELE'!AC17-'DATA-ELE'!AC21-'DATA-ELE'!AC22)/('DATA-ELE'!$Q$17-'DATA-ELE'!$Q$21-'DATA-ELE'!$Q$22)</f>
        <v>95.874614948294777</v>
      </c>
      <c r="O13" s="82">
        <f>100*('DATA-ELE'!AD17-'DATA-ELE'!AD21-'DATA-ELE'!AD22)/('DATA-ELE'!$Q$17-'DATA-ELE'!$Q$21-'DATA-ELE'!$Q$22)</f>
        <v>112.0093482141635</v>
      </c>
      <c r="P13" s="82">
        <f>100*('DATA-ELE'!AE17-'DATA-ELE'!AE21-'DATA-ELE'!AE22)/('DATA-ELE'!$Q$17-'DATA-ELE'!$Q$21-'DATA-ELE'!$Q$22)</f>
        <v>104.31486468158965</v>
      </c>
      <c r="Q13" s="82">
        <f>100*('DATA-ELE'!AF17-'DATA-ELE'!AF21-'DATA-ELE'!AF22)/('DATA-ELE'!$Q$17-'DATA-ELE'!$Q$21-'DATA-ELE'!$Q$22)</f>
        <v>113.08351789164705</v>
      </c>
      <c r="R13" s="82">
        <f>100*('DATA-ELE'!AG17-'DATA-ELE'!AG21-'DATA-ELE'!AG22)/('DATA-ELE'!$Q$17-'DATA-ELE'!$Q$21-'DATA-ELE'!$Q$22)</f>
        <v>113.49624691093682</v>
      </c>
      <c r="S13" s="82">
        <f>100*('DATA-ELE'!AH17-'DATA-ELE'!AH21-'DATA-ELE'!AH22)/('DATA-ELE'!$Q$17-'DATA-ELE'!$Q$21-'DATA-ELE'!$Q$22)</f>
        <v>89.949816711346102</v>
      </c>
      <c r="T13" s="82">
        <f>100*('DATA-ELE'!AI17-'DATA-ELE'!AI21-'DATA-ELE'!AI22)/('DATA-ELE'!$Q$17-'DATA-ELE'!$Q$21-'DATA-ELE'!$Q$22)</f>
        <v>107.44019555289037</v>
      </c>
      <c r="U13" s="82">
        <f>100*('DATA-ELE'!AJ17-'DATA-ELE'!AJ21-'DATA-ELE'!AJ22)/('DATA-ELE'!$Q$17-'DATA-ELE'!$Q$21-'DATA-ELE'!$Q$22)</f>
        <v>120.07687428744902</v>
      </c>
    </row>
    <row r="14" spans="1:36" ht="18.649999999999999" customHeight="1" x14ac:dyDescent="0.3">
      <c r="A14" s="20" t="s">
        <v>241</v>
      </c>
      <c r="J14" s="75"/>
      <c r="M14" s="75" t="s">
        <v>269</v>
      </c>
    </row>
    <row r="21" spans="1:41" x14ac:dyDescent="0.35">
      <c r="B21" s="78" t="s">
        <v>10</v>
      </c>
      <c r="C21" s="78" t="s">
        <v>11</v>
      </c>
      <c r="D21" s="78" t="s">
        <v>12</v>
      </c>
      <c r="E21" s="78" t="s">
        <v>13</v>
      </c>
      <c r="F21" s="78" t="s">
        <v>14</v>
      </c>
      <c r="G21" s="78" t="s">
        <v>15</v>
      </c>
      <c r="H21" s="78" t="s">
        <v>16</v>
      </c>
      <c r="I21" s="78" t="s">
        <v>17</v>
      </c>
      <c r="J21" s="78" t="s">
        <v>18</v>
      </c>
      <c r="K21" s="78" t="s">
        <v>19</v>
      </c>
      <c r="L21" s="78" t="s">
        <v>20</v>
      </c>
      <c r="M21" s="78" t="s">
        <v>21</v>
      </c>
      <c r="N21" s="78" t="s">
        <v>22</v>
      </c>
      <c r="O21" s="78" t="s">
        <v>23</v>
      </c>
      <c r="P21" s="78" t="s">
        <v>24</v>
      </c>
      <c r="Q21" s="78" t="s">
        <v>25</v>
      </c>
      <c r="R21" s="78" t="s">
        <v>26</v>
      </c>
      <c r="S21" s="78" t="s">
        <v>27</v>
      </c>
      <c r="T21" s="78" t="s">
        <v>28</v>
      </c>
      <c r="U21" s="78" t="s">
        <v>29</v>
      </c>
      <c r="V21" s="78" t="s">
        <v>30</v>
      </c>
      <c r="W21" s="78" t="s">
        <v>31</v>
      </c>
      <c r="X21" s="78" t="s">
        <v>32</v>
      </c>
      <c r="Y21" s="78" t="s">
        <v>33</v>
      </c>
      <c r="Z21" s="78" t="s">
        <v>34</v>
      </c>
      <c r="AA21" s="78" t="s">
        <v>35</v>
      </c>
      <c r="AB21" s="78" t="s">
        <v>36</v>
      </c>
      <c r="AC21" s="78" t="s">
        <v>37</v>
      </c>
      <c r="AD21" s="78" t="s">
        <v>38</v>
      </c>
      <c r="AE21" s="78" t="s">
        <v>39</v>
      </c>
      <c r="AF21" s="78" t="s">
        <v>40</v>
      </c>
      <c r="AG21" s="78" t="s">
        <v>41</v>
      </c>
      <c r="AH21" s="78" t="s">
        <v>42</v>
      </c>
      <c r="AI21" s="78">
        <v>2023</v>
      </c>
      <c r="AJ21" s="78">
        <v>2024</v>
      </c>
    </row>
    <row r="22" spans="1:41" x14ac:dyDescent="0.35">
      <c r="A22" s="77" t="s">
        <v>95</v>
      </c>
      <c r="B22" s="79">
        <f>'DATA-OIL'!C21</f>
        <v>40179</v>
      </c>
      <c r="C22" s="79">
        <f>'DATA-OIL'!D21</f>
        <v>38934.9</v>
      </c>
      <c r="D22" s="79">
        <f>'DATA-OIL'!E21</f>
        <v>38690.6</v>
      </c>
      <c r="E22" s="79">
        <f>'DATA-OIL'!F21</f>
        <v>38565.599999999999</v>
      </c>
      <c r="F22" s="79">
        <f>'DATA-OIL'!G21</f>
        <v>40102.699999999997</v>
      </c>
      <c r="G22" s="79">
        <f>'DATA-OIL'!H21</f>
        <v>39315.9</v>
      </c>
      <c r="H22" s="79">
        <f>'DATA-OIL'!I21</f>
        <v>38995.800000000003</v>
      </c>
      <c r="I22" s="79">
        <f>'DATA-OIL'!J21</f>
        <v>39962.199999999997</v>
      </c>
      <c r="J22" s="79">
        <f>'DATA-OIL'!K21</f>
        <v>39298.9</v>
      </c>
      <c r="K22" s="79">
        <f>'DATA-OIL'!L21</f>
        <v>40561.300000000003</v>
      </c>
      <c r="L22" s="79">
        <f>'DATA-OIL'!M21</f>
        <v>43871</v>
      </c>
      <c r="M22" s="79">
        <f>'DATA-OIL'!N21</f>
        <v>41905</v>
      </c>
      <c r="N22" s="79">
        <f>'DATA-OIL'!O21</f>
        <v>46800</v>
      </c>
      <c r="O22" s="79">
        <f>'DATA-OIL'!P21</f>
        <v>46864</v>
      </c>
      <c r="P22" s="79">
        <f>'DATA-OIL'!Q21</f>
        <v>46345</v>
      </c>
      <c r="Q22" s="79">
        <f>'DATA-OIL'!R21</f>
        <v>45545.786</v>
      </c>
      <c r="R22" s="79">
        <f>'DATA-OIL'!S21</f>
        <v>42693.14</v>
      </c>
      <c r="S22" s="79">
        <f>'DATA-OIL'!T21</f>
        <v>40614.230000000003</v>
      </c>
      <c r="T22" s="79">
        <f>'DATA-OIL'!U21</f>
        <v>38034.385999999999</v>
      </c>
      <c r="U22" s="79">
        <f>'DATA-OIL'!V21</f>
        <v>34703.222999999998</v>
      </c>
      <c r="V22" s="79">
        <f>'DATA-OIL'!W21</f>
        <v>33185.002</v>
      </c>
      <c r="W22" s="79">
        <f>'DATA-OIL'!X21</f>
        <v>31460.978999999999</v>
      </c>
      <c r="X22" s="79">
        <f>'DATA-OIL'!Y21</f>
        <v>30224.902999999998</v>
      </c>
      <c r="Y22" s="79">
        <f>'DATA-OIL'!Z21</f>
        <v>29391.375</v>
      </c>
      <c r="Z22" s="79">
        <f>'DATA-OIL'!AA21</f>
        <v>29006.891</v>
      </c>
      <c r="AA22" s="79">
        <f>'DATA-OIL'!AB21</f>
        <v>28201.078000000001</v>
      </c>
      <c r="AB22" s="79">
        <f>'DATA-OIL'!AC21</f>
        <v>25211.285</v>
      </c>
      <c r="AC22" s="79">
        <f>'DATA-OIL'!AD21</f>
        <v>25073.923999999999</v>
      </c>
      <c r="AD22" s="79">
        <f>'DATA-OIL'!AE21</f>
        <v>24573.253000000001</v>
      </c>
      <c r="AE22" s="79">
        <f>'DATA-OIL'!AF21</f>
        <v>22755.252</v>
      </c>
      <c r="AF22" s="79">
        <f>'DATA-OIL'!AG21</f>
        <v>21445.329000000002</v>
      </c>
      <c r="AG22" s="79">
        <f>'DATA-OIL'!AH21</f>
        <v>20209.433000000001</v>
      </c>
      <c r="AH22" s="79">
        <f>'DATA-OIL'!AI21</f>
        <v>18838.68</v>
      </c>
      <c r="AI22" s="79">
        <f>'DATA-OIL'!AJ21</f>
        <v>19057.030999999999</v>
      </c>
      <c r="AJ22" s="79">
        <f>'DATA-OIL'!AK21</f>
        <v>17981.281999999999</v>
      </c>
    </row>
    <row r="23" spans="1:41" x14ac:dyDescent="0.35">
      <c r="A23" s="77" t="s">
        <v>96</v>
      </c>
      <c r="B23" s="79">
        <f>'DATA-OIL'!C22-'DATA-OIL'!C23</f>
        <v>544156.99499999988</v>
      </c>
      <c r="C23" s="79">
        <f>'DATA-OIL'!D22-'DATA-OIL'!D23</f>
        <v>545072.31799999997</v>
      </c>
      <c r="D23" s="79">
        <f>'DATA-OIL'!E22-'DATA-OIL'!E23</f>
        <v>548257.93999999994</v>
      </c>
      <c r="E23" s="79">
        <f>'DATA-OIL'!F22-'DATA-OIL'!F23</f>
        <v>541932.64199999999</v>
      </c>
      <c r="F23" s="79">
        <f>'DATA-OIL'!G22-'DATA-OIL'!G23</f>
        <v>547020.84699999995</v>
      </c>
      <c r="G23" s="79">
        <f>'DATA-OIL'!H22-'DATA-OIL'!H23</f>
        <v>557486.44299999997</v>
      </c>
      <c r="H23" s="79">
        <f>'DATA-OIL'!I22-'DATA-OIL'!I23</f>
        <v>575127.65800000005</v>
      </c>
      <c r="I23" s="79">
        <f>'DATA-OIL'!J22-'DATA-OIL'!J23</f>
        <v>579460.53499999992</v>
      </c>
      <c r="J23" s="79">
        <f>'DATA-OIL'!K22-'DATA-OIL'!K23</f>
        <v>603011.64599999995</v>
      </c>
      <c r="K23" s="79">
        <f>'DATA-OIL'!L22-'DATA-OIL'!L23</f>
        <v>572664.10600000003</v>
      </c>
      <c r="L23" s="79">
        <f>'DATA-OIL'!M22-'DATA-OIL'!M23</f>
        <v>575838.375</v>
      </c>
      <c r="M23" s="79">
        <f>'DATA-OIL'!N22-'DATA-OIL'!N23</f>
        <v>589863.73699999996</v>
      </c>
      <c r="N23" s="79">
        <f>'DATA-OIL'!O22-'DATA-OIL'!O23</f>
        <v>581946.99799999991</v>
      </c>
      <c r="O23" s="79">
        <f>'DATA-OIL'!P22-'DATA-OIL'!P23</f>
        <v>592560.93300000008</v>
      </c>
      <c r="P23" s="79">
        <f>'DATA-OIL'!Q22-'DATA-OIL'!Q23</f>
        <v>593541.78300000005</v>
      </c>
      <c r="Q23" s="79">
        <f>'DATA-OIL'!R22-'DATA-OIL'!R23</f>
        <v>599625.45900000003</v>
      </c>
      <c r="R23" s="79">
        <f>'DATA-OIL'!S22-'DATA-OIL'!S23</f>
        <v>600589.09700000007</v>
      </c>
      <c r="S23" s="79">
        <f>'DATA-OIL'!T22-'DATA-OIL'!T23</f>
        <v>583074.04200000002</v>
      </c>
      <c r="T23" s="79">
        <f>'DATA-OIL'!U22-'DATA-OIL'!U23</f>
        <v>589122.92599999998</v>
      </c>
      <c r="U23" s="79">
        <f>'DATA-OIL'!V22-'DATA-OIL'!V23</f>
        <v>549173.22600000002</v>
      </c>
      <c r="V23" s="79">
        <f>'DATA-OIL'!W22-'DATA-OIL'!W23</f>
        <v>545116.09400000004</v>
      </c>
      <c r="W23" s="79">
        <f>'DATA-OIL'!X22-'DATA-OIL'!X23</f>
        <v>527268.946</v>
      </c>
      <c r="X23" s="79">
        <f>'DATA-OIL'!Y22-'DATA-OIL'!Y23</f>
        <v>506128.54199999996</v>
      </c>
      <c r="Y23" s="79">
        <f>'DATA-OIL'!Z22-'DATA-OIL'!Z23</f>
        <v>493580.41899999999</v>
      </c>
      <c r="Z23" s="79">
        <f>'DATA-OIL'!AA22-'DATA-OIL'!AA23</f>
        <v>487557.30800000002</v>
      </c>
      <c r="AA23" s="79">
        <f>'DATA-OIL'!AB22-'DATA-OIL'!AB23</f>
        <v>506832.01400000002</v>
      </c>
      <c r="AB23" s="79">
        <f>'DATA-OIL'!AC22-'DATA-OIL'!AC23</f>
        <v>502349.59699999995</v>
      </c>
      <c r="AC23" s="79">
        <f>'DATA-OIL'!AD22-'DATA-OIL'!AD23</f>
        <v>510265.34300000005</v>
      </c>
      <c r="AD23" s="79">
        <f>'DATA-OIL'!AE22-'DATA-OIL'!AE23</f>
        <v>510139.89400000003</v>
      </c>
      <c r="AE23" s="79">
        <f>'DATA-OIL'!AF22-'DATA-OIL'!AF23</f>
        <v>520518.75100000005</v>
      </c>
      <c r="AF23" s="79">
        <f>'DATA-OIL'!AG22-'DATA-OIL'!AG23</f>
        <v>453146.90300000005</v>
      </c>
      <c r="AG23" s="79">
        <f>'DATA-OIL'!AH22-'DATA-OIL'!AH23</f>
        <v>451857.86099999998</v>
      </c>
      <c r="AH23" s="79">
        <f>'DATA-OIL'!AI22-'DATA-OIL'!AI23</f>
        <v>494784.62900000002</v>
      </c>
      <c r="AI23" s="79">
        <f>'DATA-OIL'!AJ22-'DATA-OIL'!AJ23</f>
        <v>470588.97200000001</v>
      </c>
      <c r="AJ23" s="79">
        <f>'DATA-OIL'!AK22-'DATA-OIL'!AK23</f>
        <v>475740.52800000005</v>
      </c>
    </row>
    <row r="24" spans="1:41" x14ac:dyDescent="0.35">
      <c r="A24" s="77" t="s">
        <v>97</v>
      </c>
      <c r="B24" s="79">
        <f>'DATA-OIL'!C31-'DATA-OIL'!C37</f>
        <v>0</v>
      </c>
      <c r="C24" s="79">
        <f>'DATA-OIL'!D31-'DATA-OIL'!D37</f>
        <v>0</v>
      </c>
      <c r="D24" s="79">
        <f>'DATA-OIL'!E31-'DATA-OIL'!E37</f>
        <v>12</v>
      </c>
      <c r="E24" s="79">
        <f>'DATA-OIL'!F31-'DATA-OIL'!F37</f>
        <v>52</v>
      </c>
      <c r="F24" s="79">
        <f>'DATA-OIL'!G31-'DATA-OIL'!G37</f>
        <v>131</v>
      </c>
      <c r="G24" s="79">
        <f>'DATA-OIL'!H31-'DATA-OIL'!H37</f>
        <v>204</v>
      </c>
      <c r="H24" s="79">
        <f>'DATA-OIL'!I31-'DATA-OIL'!I37</f>
        <v>304</v>
      </c>
      <c r="I24" s="79">
        <f>'DATA-OIL'!J31-'DATA-OIL'!J37</f>
        <v>400</v>
      </c>
      <c r="J24" s="79">
        <f>'DATA-OIL'!K31-'DATA-OIL'!K37</f>
        <v>364</v>
      </c>
      <c r="K24" s="79">
        <f>'DATA-OIL'!L31-'DATA-OIL'!L37</f>
        <v>381</v>
      </c>
      <c r="L24" s="79">
        <f>'DATA-OIL'!M31-'DATA-OIL'!M37</f>
        <v>544</v>
      </c>
      <c r="M24" s="79">
        <f>'DATA-OIL'!N31-'DATA-OIL'!N37</f>
        <v>580</v>
      </c>
      <c r="N24" s="79">
        <f>'DATA-OIL'!O31-'DATA-OIL'!O37</f>
        <v>724</v>
      </c>
      <c r="O24" s="79">
        <f>'DATA-OIL'!P31-'DATA-OIL'!P37</f>
        <v>859</v>
      </c>
      <c r="P24" s="79">
        <f>'DATA-OIL'!Q31-'DATA-OIL'!Q37</f>
        <v>1516</v>
      </c>
      <c r="Q24" s="79">
        <f>'DATA-OIL'!R31-'DATA-OIL'!R37</f>
        <v>2583.2930000000633</v>
      </c>
      <c r="R24" s="79">
        <f>'DATA-OIL'!S31-'DATA-OIL'!S37</f>
        <v>3779.109999999986</v>
      </c>
      <c r="S24" s="79">
        <f>'DATA-OIL'!T31-'DATA-OIL'!T37</f>
        <v>6032.637999999919</v>
      </c>
      <c r="T24" s="79">
        <f>'DATA-OIL'!U31-'DATA-OIL'!U37</f>
        <v>9389.4030000000494</v>
      </c>
      <c r="U24" s="79">
        <f>'DATA-OIL'!V31-'DATA-OIL'!V37</f>
        <v>12326.288</v>
      </c>
      <c r="V24" s="79">
        <f>'DATA-OIL'!W31-'DATA-OIL'!W37</f>
        <v>14014.667000000016</v>
      </c>
      <c r="W24" s="79">
        <f>'DATA-OIL'!X31-'DATA-OIL'!X37</f>
        <v>14985.819000000018</v>
      </c>
      <c r="X24" s="79">
        <f>'DATA-OIL'!Y31-'DATA-OIL'!Y37</f>
        <v>16014.82799999998</v>
      </c>
      <c r="Y24" s="79">
        <f>'DATA-OIL'!Z31-'DATA-OIL'!Z37</f>
        <v>14282.941999999981</v>
      </c>
      <c r="Z24" s="79">
        <f>'DATA-OIL'!AA31-'DATA-OIL'!AA37</f>
        <v>15101.465999999957</v>
      </c>
      <c r="AA24" s="79">
        <f>'DATA-OIL'!AB31-'DATA-OIL'!AB37</f>
        <v>15214.937000000034</v>
      </c>
      <c r="AB24" s="79">
        <f>'DATA-OIL'!AC31-'DATA-OIL'!AC37</f>
        <v>14999.95199999999</v>
      </c>
      <c r="AC24" s="79">
        <f>'DATA-OIL'!AD31-'DATA-OIL'!AD37</f>
        <v>16565.048999999999</v>
      </c>
      <c r="AD24" s="79">
        <f>'DATA-OIL'!AE31-'DATA-OIL'!AE37</f>
        <v>17871.533999999985</v>
      </c>
      <c r="AE24" s="79">
        <f>'DATA-OIL'!AF31-'DATA-OIL'!AF37</f>
        <v>18843.440000000002</v>
      </c>
      <c r="AF24" s="79">
        <f>'DATA-OIL'!AG31-'DATA-OIL'!AG37</f>
        <v>18667.538</v>
      </c>
      <c r="AG24" s="79">
        <f>'DATA-OIL'!AH31-'DATA-OIL'!AH37</f>
        <v>19884.744000000006</v>
      </c>
      <c r="AH24" s="79">
        <f>'DATA-OIL'!AI31-'DATA-OIL'!AI37</f>
        <v>19464.671000000031</v>
      </c>
      <c r="AI24" s="79">
        <f>'DATA-OIL'!AJ31-'DATA-OIL'!AJ37</f>
        <v>21061.081999999995</v>
      </c>
      <c r="AJ24" s="79">
        <f>'DATA-OIL'!AK31-'DATA-OIL'!AK37</f>
        <v>19210.464999999967</v>
      </c>
    </row>
    <row r="25" spans="1:41" ht="18.649999999999999" customHeight="1" x14ac:dyDescent="0.3">
      <c r="A25" s="20" t="s">
        <v>238</v>
      </c>
      <c r="G25" s="75" t="s">
        <v>270</v>
      </c>
      <c r="AJ25" s="81">
        <f>AJ23/SUM(AJ22:AJ24)</f>
        <v>0.92749189549439059</v>
      </c>
    </row>
    <row r="29" spans="1:41" x14ac:dyDescent="0.35">
      <c r="B29" s="78" t="s">
        <v>10</v>
      </c>
      <c r="C29" s="78" t="s">
        <v>11</v>
      </c>
      <c r="D29" s="78" t="s">
        <v>12</v>
      </c>
      <c r="E29" s="78" t="s">
        <v>13</v>
      </c>
      <c r="F29" s="78" t="s">
        <v>14</v>
      </c>
      <c r="G29" s="78" t="s">
        <v>15</v>
      </c>
      <c r="H29" s="78" t="s">
        <v>16</v>
      </c>
      <c r="I29" s="78" t="s">
        <v>17</v>
      </c>
      <c r="J29" s="78" t="s">
        <v>18</v>
      </c>
      <c r="K29" s="78" t="s">
        <v>19</v>
      </c>
      <c r="L29" s="78" t="s">
        <v>20</v>
      </c>
      <c r="M29" s="78" t="s">
        <v>21</v>
      </c>
      <c r="N29" s="78" t="s">
        <v>22</v>
      </c>
      <c r="O29" s="78" t="s">
        <v>23</v>
      </c>
      <c r="P29" s="78" t="s">
        <v>24</v>
      </c>
      <c r="Q29" s="78" t="s">
        <v>25</v>
      </c>
      <c r="R29" s="78" t="s">
        <v>26</v>
      </c>
      <c r="S29" s="78" t="s">
        <v>27</v>
      </c>
      <c r="T29" s="78" t="s">
        <v>28</v>
      </c>
      <c r="U29" s="78" t="s">
        <v>29</v>
      </c>
      <c r="V29" s="78" t="s">
        <v>30</v>
      </c>
      <c r="W29" s="78" t="s">
        <v>31</v>
      </c>
      <c r="X29" s="78" t="s">
        <v>32</v>
      </c>
      <c r="Y29" s="78" t="s">
        <v>33</v>
      </c>
      <c r="Z29" s="78" t="s">
        <v>34</v>
      </c>
      <c r="AA29" s="78" t="s">
        <v>35</v>
      </c>
      <c r="AB29" s="78" t="s">
        <v>36</v>
      </c>
      <c r="AC29" s="78" t="s">
        <v>37</v>
      </c>
      <c r="AD29" s="78" t="s">
        <v>38</v>
      </c>
      <c r="AE29" s="78" t="s">
        <v>39</v>
      </c>
      <c r="AF29" s="78" t="s">
        <v>40</v>
      </c>
      <c r="AG29" s="78" t="s">
        <v>41</v>
      </c>
      <c r="AH29" s="78" t="s">
        <v>42</v>
      </c>
      <c r="AI29" s="78">
        <v>2023</v>
      </c>
      <c r="AJ29" s="78">
        <v>2024</v>
      </c>
    </row>
    <row r="30" spans="1:41" x14ac:dyDescent="0.35">
      <c r="A30" s="77" t="s">
        <v>181</v>
      </c>
      <c r="B30" s="79">
        <f>'DATA-ELE'!B35</f>
        <v>729114</v>
      </c>
      <c r="C30" s="79">
        <f>'DATA-ELE'!C35</f>
        <v>749292</v>
      </c>
      <c r="D30" s="79">
        <f>'DATA-ELE'!D35</f>
        <v>750516</v>
      </c>
      <c r="E30" s="79">
        <f>'DATA-ELE'!E35</f>
        <v>772820</v>
      </c>
      <c r="F30" s="79">
        <f>'DATA-ELE'!F35</f>
        <v>770442</v>
      </c>
      <c r="G30" s="79">
        <f>'DATA-ELE'!G35</f>
        <v>791857</v>
      </c>
      <c r="H30" s="79">
        <f>'DATA-ELE'!H35</f>
        <v>831268</v>
      </c>
      <c r="I30" s="79">
        <f>'DATA-ELE'!I35</f>
        <v>839476</v>
      </c>
      <c r="J30" s="79">
        <f>'DATA-ELE'!J35</f>
        <v>833365</v>
      </c>
      <c r="K30" s="79">
        <f>'DATA-ELE'!K35</f>
        <v>848251</v>
      </c>
      <c r="L30" s="79">
        <f>'DATA-ELE'!L35</f>
        <v>859930</v>
      </c>
      <c r="M30" s="79">
        <f>'DATA-ELE'!M35</f>
        <v>888892</v>
      </c>
      <c r="N30" s="79">
        <f>'DATA-ELE'!N35</f>
        <v>902348</v>
      </c>
      <c r="O30" s="79">
        <f>'DATA-ELE'!O35</f>
        <v>907174</v>
      </c>
      <c r="P30" s="79">
        <f>'DATA-ELE'!P35</f>
        <v>928438</v>
      </c>
      <c r="Q30" s="79">
        <f>'DATA-ELE'!Q35</f>
        <v>916081</v>
      </c>
      <c r="R30" s="79">
        <f>'DATA-ELE'!R35</f>
        <v>914426</v>
      </c>
      <c r="S30" s="79">
        <f>'DATA-ELE'!S35</f>
        <v>872249</v>
      </c>
      <c r="T30" s="79">
        <f>'DATA-ELE'!T35</f>
        <v>884729</v>
      </c>
      <c r="U30" s="79">
        <f>'DATA-ELE'!U35</f>
        <v>824912</v>
      </c>
      <c r="V30" s="79">
        <f>'DATA-ELE'!V35</f>
        <v>854470</v>
      </c>
      <c r="W30" s="79">
        <f>'DATA-ELE'!W35</f>
        <v>837768.76300000004</v>
      </c>
      <c r="X30" s="79">
        <f>'DATA-ELE'!X35</f>
        <v>811961.01699999999</v>
      </c>
      <c r="Y30" s="79">
        <f>'DATA-ELE'!Y35</f>
        <v>806222.67099999997</v>
      </c>
      <c r="Z30" s="79">
        <f>'DATA-ELE'!Z35</f>
        <v>812550.00899999996</v>
      </c>
      <c r="AA30" s="79">
        <f>'DATA-ELE'!AA35</f>
        <v>786675.84900000005</v>
      </c>
      <c r="AB30" s="79">
        <f>'DATA-ELE'!AB35</f>
        <v>767958.76</v>
      </c>
      <c r="AC30" s="79">
        <f>'DATA-ELE'!AC35</f>
        <v>759382.64300000004</v>
      </c>
      <c r="AD30" s="79">
        <f>'DATA-ELE'!AD35</f>
        <v>761943.04799999995</v>
      </c>
      <c r="AE30" s="79">
        <f>'DATA-ELE'!AE35</f>
        <v>765337.85600000003</v>
      </c>
      <c r="AF30" s="79">
        <f>'DATA-ELE'!AF35</f>
        <v>683512.14500000002</v>
      </c>
      <c r="AG30" s="79">
        <f>'DATA-ELE'!AG35</f>
        <v>731700.79299999995</v>
      </c>
      <c r="AH30" s="79">
        <f>'DATA-ELE'!AH35</f>
        <v>609255.49600000004</v>
      </c>
      <c r="AI30" s="79">
        <f>'DATA-ELE'!AI35</f>
        <v>619601.31099999999</v>
      </c>
      <c r="AJ30" s="79">
        <f>'DATA-ELE'!AJ35</f>
        <v>649262.86199999996</v>
      </c>
      <c r="AM30" s="97">
        <f>AI30/$AM$33</f>
        <v>0.22851855633248694</v>
      </c>
      <c r="AN30" s="97">
        <f>AJ30/$AN$33</f>
        <v>0.23421816212659571</v>
      </c>
      <c r="AO30" s="114">
        <f>AJ30/AI30-1</f>
        <v>4.7871995222424468E-2</v>
      </c>
    </row>
    <row r="31" spans="1:41" x14ac:dyDescent="0.35">
      <c r="A31" s="77" t="s">
        <v>197</v>
      </c>
      <c r="B31" s="79">
        <f>'DATA-ELE'!B17-('DATA-ELE'!B21+'DATA-ELE'!B22)+'DATA-ELE'!B23+'DATA-ELE'!B24+'DATA-ELE'!B27+'DATA-ELE'!B28+'DATA-ELE'!B33+'DATA-ELE'!B91+'DATA-ELE'!B92+'DATA-ELE'!B93+'DATA-ELE'!B94+'DATA-ELE'!B95+'DATA-ELE'!B97</f>
        <v>301899.22300000006</v>
      </c>
      <c r="C31" s="79">
        <f>'DATA-ELE'!C17-('DATA-ELE'!C21+'DATA-ELE'!C22)+'DATA-ELE'!C23+'DATA-ELE'!C24+'DATA-ELE'!C27+'DATA-ELE'!C28+'DATA-ELE'!C33+'DATA-ELE'!C91+'DATA-ELE'!C92+'DATA-ELE'!C93+'DATA-ELE'!C94+'DATA-ELE'!C95+'DATA-ELE'!C97</f>
        <v>314869.32800000004</v>
      </c>
      <c r="D31" s="79">
        <f>'DATA-ELE'!D17-('DATA-ELE'!D21+'DATA-ELE'!D22)+'DATA-ELE'!D23+'DATA-ELE'!D24+'DATA-ELE'!D27+'DATA-ELE'!D28+'DATA-ELE'!D33+'DATA-ELE'!D91+'DATA-ELE'!D92+'DATA-ELE'!D93+'DATA-ELE'!D94+'DATA-ELE'!D95+'DATA-ELE'!D97</f>
        <v>328271.04300000001</v>
      </c>
      <c r="E31" s="79">
        <f>'DATA-ELE'!E17-('DATA-ELE'!E21+'DATA-ELE'!E22)+'DATA-ELE'!E23+'DATA-ELE'!E24+'DATA-ELE'!E27+'DATA-ELE'!E28+'DATA-ELE'!E33+'DATA-ELE'!E91+'DATA-ELE'!E92+'DATA-ELE'!E93+'DATA-ELE'!E94+'DATA-ELE'!E95+'DATA-ELE'!E97</f>
        <v>338542.141</v>
      </c>
      <c r="F31" s="79">
        <f>'DATA-ELE'!F17-('DATA-ELE'!F21+'DATA-ELE'!F22)+'DATA-ELE'!F23+'DATA-ELE'!F24+'DATA-ELE'!F27+'DATA-ELE'!F28+'DATA-ELE'!F33+'DATA-ELE'!F91+'DATA-ELE'!F92+'DATA-ELE'!F93+'DATA-ELE'!F94+'DATA-ELE'!F95+'DATA-ELE'!F97</f>
        <v>350473.37700000004</v>
      </c>
      <c r="G31" s="79">
        <f>'DATA-ELE'!G17-('DATA-ELE'!G21+'DATA-ELE'!G22)+'DATA-ELE'!G23+'DATA-ELE'!G24+'DATA-ELE'!G27+'DATA-ELE'!G28+'DATA-ELE'!G33+'DATA-ELE'!G91+'DATA-ELE'!G92+'DATA-ELE'!G93+'DATA-ELE'!G94+'DATA-ELE'!G95+'DATA-ELE'!G97</f>
        <v>352737.29400000005</v>
      </c>
      <c r="H31" s="79">
        <f>'DATA-ELE'!H17-('DATA-ELE'!H21+'DATA-ELE'!H22)+'DATA-ELE'!H23+'DATA-ELE'!H24+'DATA-ELE'!H27+'DATA-ELE'!H28+'DATA-ELE'!H33+'DATA-ELE'!H91+'DATA-ELE'!H92+'DATA-ELE'!H93+'DATA-ELE'!H94+'DATA-ELE'!H95+'DATA-ELE'!H97</f>
        <v>355334.89000000007</v>
      </c>
      <c r="I31" s="79">
        <f>'DATA-ELE'!I17-('DATA-ELE'!I21+'DATA-ELE'!I22)+'DATA-ELE'!I23+'DATA-ELE'!I24+'DATA-ELE'!I27+'DATA-ELE'!I28+'DATA-ELE'!I33+'DATA-ELE'!I91+'DATA-ELE'!I92+'DATA-ELE'!I93+'DATA-ELE'!I94+'DATA-ELE'!I95+'DATA-ELE'!I97</f>
        <v>366748.39400000003</v>
      </c>
      <c r="J31" s="79">
        <f>'DATA-ELE'!J17-('DATA-ELE'!J21+'DATA-ELE'!J22)+'DATA-ELE'!J23+'DATA-ELE'!J24+'DATA-ELE'!J27+'DATA-ELE'!J28+'DATA-ELE'!J33+'DATA-ELE'!J91+'DATA-ELE'!J92+'DATA-ELE'!J93+'DATA-ELE'!J94+'DATA-ELE'!J95+'DATA-ELE'!J97</f>
        <v>384704.234</v>
      </c>
      <c r="K31" s="79">
        <f>'DATA-ELE'!K17-('DATA-ELE'!K21+'DATA-ELE'!K22)+'DATA-ELE'!K23+'DATA-ELE'!K24+'DATA-ELE'!K27+'DATA-ELE'!K28+'DATA-ELE'!K33+'DATA-ELE'!K91+'DATA-ELE'!K92+'DATA-ELE'!K93+'DATA-ELE'!K94+'DATA-ELE'!K95+'DATA-ELE'!K97</f>
        <v>386357.97700000007</v>
      </c>
      <c r="L31" s="79">
        <f>'DATA-ELE'!L17-('DATA-ELE'!L21+'DATA-ELE'!L22)+'DATA-ELE'!L23+'DATA-ELE'!L24+'DATA-ELE'!L27+'DATA-ELE'!L28+'DATA-ELE'!L33+'DATA-ELE'!L91+'DATA-ELE'!L92+'DATA-ELE'!L93+'DATA-ELE'!L94+'DATA-ELE'!L95+'DATA-ELE'!L97</f>
        <v>407000.85799999995</v>
      </c>
      <c r="M31" s="79">
        <f>'DATA-ELE'!M17-('DATA-ELE'!M21+'DATA-ELE'!M22)+'DATA-ELE'!M23+'DATA-ELE'!M24+'DATA-ELE'!M27+'DATA-ELE'!M28+'DATA-ELE'!M33+'DATA-ELE'!M91+'DATA-ELE'!M92+'DATA-ELE'!M93+'DATA-ELE'!M94+'DATA-ELE'!M95+'DATA-ELE'!M97</f>
        <v>436332.79699999996</v>
      </c>
      <c r="N31" s="79">
        <f>'DATA-ELE'!N17-('DATA-ELE'!N21+'DATA-ELE'!N22)+'DATA-ELE'!N23+'DATA-ELE'!N24+'DATA-ELE'!N27+'DATA-ELE'!N28+'DATA-ELE'!N33+'DATA-ELE'!N91+'DATA-ELE'!N92+'DATA-ELE'!N93+'DATA-ELE'!N94+'DATA-ELE'!N95+'DATA-ELE'!N97</f>
        <v>389999.53</v>
      </c>
      <c r="O31" s="79">
        <f>'DATA-ELE'!O17-('DATA-ELE'!O21+'DATA-ELE'!O22)+'DATA-ELE'!O23+'DATA-ELE'!O24+'DATA-ELE'!O27+'DATA-ELE'!O28+'DATA-ELE'!O33+'DATA-ELE'!O91+'DATA-ELE'!O92+'DATA-ELE'!O93+'DATA-ELE'!O94+'DATA-ELE'!O95+'DATA-ELE'!O97</f>
        <v>397544.98300000007</v>
      </c>
      <c r="P31" s="79">
        <f>'DATA-ELE'!P17-('DATA-ELE'!P21+'DATA-ELE'!P22)+'DATA-ELE'!P23+'DATA-ELE'!P24+'DATA-ELE'!P27+'DATA-ELE'!P28+'DATA-ELE'!P33+'DATA-ELE'!P91+'DATA-ELE'!P92+'DATA-ELE'!P93+'DATA-ELE'!P94+'DATA-ELE'!P95+'DATA-ELE'!P97</f>
        <v>440336.19899999996</v>
      </c>
      <c r="Q31" s="79">
        <f>'DATA-ELE'!Q17-('DATA-ELE'!Q21+'DATA-ELE'!Q22)+'DATA-ELE'!Q23+'DATA-ELE'!Q24+'DATA-ELE'!Q27+'DATA-ELE'!Q28+'DATA-ELE'!Q33+'DATA-ELE'!Q91+'DATA-ELE'!Q92+'DATA-ELE'!Q93+'DATA-ELE'!Q94+'DATA-ELE'!Q95+'DATA-ELE'!Q97</f>
        <v>443472.79800000007</v>
      </c>
      <c r="R31" s="79">
        <f>'DATA-ELE'!R17-('DATA-ELE'!R21+'DATA-ELE'!R22)+'DATA-ELE'!R23+'DATA-ELE'!R24+'DATA-ELE'!R27+'DATA-ELE'!R28+'DATA-ELE'!R33+'DATA-ELE'!R91+'DATA-ELE'!R92+'DATA-ELE'!R93+'DATA-ELE'!R94+'DATA-ELE'!R95+'DATA-ELE'!R97</f>
        <v>467173.95200000005</v>
      </c>
      <c r="S31" s="79">
        <f>'DATA-ELE'!S17-('DATA-ELE'!S21+'DATA-ELE'!S22)+'DATA-ELE'!S23+'DATA-ELE'!S24+'DATA-ELE'!S27+'DATA-ELE'!S28+'DATA-ELE'!S33+'DATA-ELE'!S91+'DATA-ELE'!S92+'DATA-ELE'!S93+'DATA-ELE'!S94+'DATA-ELE'!S95+'DATA-ELE'!S97</f>
        <v>496097.11</v>
      </c>
      <c r="T31" s="79">
        <f>'DATA-ELE'!T17-('DATA-ELE'!T21+'DATA-ELE'!T22)+'DATA-ELE'!T23+'DATA-ELE'!T24+'DATA-ELE'!T27+'DATA-ELE'!T28+'DATA-ELE'!T33+'DATA-ELE'!T91+'DATA-ELE'!T92+'DATA-ELE'!T93+'DATA-ELE'!T94+'DATA-ELE'!T95+'DATA-ELE'!T97</f>
        <v>540582.67899999989</v>
      </c>
      <c r="U31" s="79">
        <f>'DATA-ELE'!U17-('DATA-ELE'!U21+'DATA-ELE'!U22)+'DATA-ELE'!U23+'DATA-ELE'!U24+'DATA-ELE'!U27+'DATA-ELE'!U28+'DATA-ELE'!U33+'DATA-ELE'!U91+'DATA-ELE'!U92+'DATA-ELE'!U93+'DATA-ELE'!U94+'DATA-ELE'!U95+'DATA-ELE'!U97</f>
        <v>570918.17700000003</v>
      </c>
      <c r="V31" s="79">
        <f>'DATA-ELE'!V17-('DATA-ELE'!V21+'DATA-ELE'!V22)+'DATA-ELE'!V23+'DATA-ELE'!V24+'DATA-ELE'!V27+'DATA-ELE'!V28+'DATA-ELE'!V33+'DATA-ELE'!V91+'DATA-ELE'!V92+'DATA-ELE'!V93+'DATA-ELE'!V94+'DATA-ELE'!V95+'DATA-ELE'!V97</f>
        <v>652628.07699999993</v>
      </c>
      <c r="W31" s="79">
        <f>'DATA-ELE'!W17-('DATA-ELE'!W21+'DATA-ELE'!W22)+'DATA-ELE'!W23+'DATA-ELE'!W24+'DATA-ELE'!W27+'DATA-ELE'!W28+'DATA-ELE'!W33+'DATA-ELE'!W91+'DATA-ELE'!W92+'DATA-ELE'!W93+'DATA-ELE'!W94+'DATA-ELE'!W95+'DATA-ELE'!W97</f>
        <v>645633.08600000013</v>
      </c>
      <c r="X31" s="79">
        <f>'DATA-ELE'!X17-('DATA-ELE'!X21+'DATA-ELE'!X22)+'DATA-ELE'!X23+'DATA-ELE'!X24+'DATA-ELE'!X27+'DATA-ELE'!X28+'DATA-ELE'!X33+'DATA-ELE'!X91+'DATA-ELE'!X92+'DATA-ELE'!X93+'DATA-ELE'!X94+'DATA-ELE'!X95+'DATA-ELE'!X97</f>
        <v>728537.95</v>
      </c>
      <c r="Y31" s="79">
        <f>'DATA-ELE'!Y17-('DATA-ELE'!Y21+'DATA-ELE'!Y22)+'DATA-ELE'!Y23+'DATA-ELE'!Y24+'DATA-ELE'!Y27+'DATA-ELE'!Y28+'DATA-ELE'!Y33+'DATA-ELE'!Y91+'DATA-ELE'!Y92+'DATA-ELE'!Y93+'DATA-ELE'!Y94+'DATA-ELE'!Y95+'DATA-ELE'!Y97</f>
        <v>807302.54600000009</v>
      </c>
      <c r="Z31" s="79">
        <f>'DATA-ELE'!Z17-('DATA-ELE'!Z21+'DATA-ELE'!Z22)+'DATA-ELE'!Z23+'DATA-ELE'!Z24+'DATA-ELE'!Z27+'DATA-ELE'!Z28+'DATA-ELE'!Z33+'DATA-ELE'!Z91+'DATA-ELE'!Z92+'DATA-ELE'!Z93+'DATA-ELE'!Z94+'DATA-ELE'!Z95+'DATA-ELE'!Z97</f>
        <v>837719.38000000012</v>
      </c>
      <c r="AA31" s="79">
        <f>'DATA-ELE'!AA17-('DATA-ELE'!AA21+'DATA-ELE'!AA22)+'DATA-ELE'!AA23+'DATA-ELE'!AA24+'DATA-ELE'!AA27+'DATA-ELE'!AA28+'DATA-ELE'!AA33+'DATA-ELE'!AA91+'DATA-ELE'!AA92+'DATA-ELE'!AA93+'DATA-ELE'!AA94+'DATA-ELE'!AA95+'DATA-ELE'!AA97</f>
        <v>856633.17999999982</v>
      </c>
      <c r="AB31" s="79">
        <f>'DATA-ELE'!AB17-('DATA-ELE'!AB21+'DATA-ELE'!AB22)+'DATA-ELE'!AB23+'DATA-ELE'!AB24+'DATA-ELE'!AB27+'DATA-ELE'!AB28+'DATA-ELE'!AB33+'DATA-ELE'!AB91+'DATA-ELE'!AB92+'DATA-ELE'!AB93+'DATA-ELE'!AB94+'DATA-ELE'!AB95+'DATA-ELE'!AB97</f>
        <v>871892.02899999986</v>
      </c>
      <c r="AC31" s="79">
        <f>'DATA-ELE'!AC17-('DATA-ELE'!AC21+'DATA-ELE'!AC22)+'DATA-ELE'!AC23+'DATA-ELE'!AC24+'DATA-ELE'!AC27+'DATA-ELE'!AC28+'DATA-ELE'!AC33+'DATA-ELE'!AC91+'DATA-ELE'!AC92+'DATA-ELE'!AC93+'DATA-ELE'!AC94+'DATA-ELE'!AC95+'DATA-ELE'!AC97</f>
        <v>875589.57300000009</v>
      </c>
      <c r="AD31" s="79">
        <f>'DATA-ELE'!AD17-('DATA-ELE'!AD21+'DATA-ELE'!AD22)+'DATA-ELE'!AD23+'DATA-ELE'!AD24+'DATA-ELE'!AD27+'DATA-ELE'!AD28+'DATA-ELE'!AD33+'DATA-ELE'!AD91+'DATA-ELE'!AD92+'DATA-ELE'!AD93+'DATA-ELE'!AD94+'DATA-ELE'!AD95+'DATA-ELE'!AD97</f>
        <v>940201.95099999988</v>
      </c>
      <c r="AE31" s="79">
        <f>'DATA-ELE'!AE17-('DATA-ELE'!AE21+'DATA-ELE'!AE22)+'DATA-ELE'!AE23+'DATA-ELE'!AE24+'DATA-ELE'!AE27+'DATA-ELE'!AE28+'DATA-ELE'!AE33+'DATA-ELE'!AE91+'DATA-ELE'!AE92+'DATA-ELE'!AE93+'DATA-ELE'!AE94+'DATA-ELE'!AE95+'DATA-ELE'!AE97</f>
        <v>978153.81300000008</v>
      </c>
      <c r="AF31" s="79">
        <f>'DATA-ELE'!AF17-('DATA-ELE'!AF21+'DATA-ELE'!AF22)+'DATA-ELE'!AF23+'DATA-ELE'!AF24+'DATA-ELE'!AF27+'DATA-ELE'!AF28+'DATA-ELE'!AF33+'DATA-ELE'!AF91+'DATA-ELE'!AF92+'DATA-ELE'!AF93+'DATA-ELE'!AF94+'DATA-ELE'!AF95+'DATA-ELE'!AF97</f>
        <v>1060003.6780000001</v>
      </c>
      <c r="AG31" s="79">
        <f>'DATA-ELE'!AG17-('DATA-ELE'!AG21+'DATA-ELE'!AG22)+'DATA-ELE'!AG23+'DATA-ELE'!AG24+'DATA-ELE'!AG27+'DATA-ELE'!AG28+'DATA-ELE'!AG33+'DATA-ELE'!AG91+'DATA-ELE'!AG92+'DATA-ELE'!AG93+'DATA-ELE'!AG94+'DATA-ELE'!AG95+'DATA-ELE'!AG97</f>
        <v>1078269.7779999999</v>
      </c>
      <c r="AH31" s="79">
        <f>'DATA-ELE'!AH17-('DATA-ELE'!AH21+'DATA-ELE'!AH22)+'DATA-ELE'!AH23+'DATA-ELE'!AH24+'DATA-ELE'!AH27+'DATA-ELE'!AH28+'DATA-ELE'!AH33+'DATA-ELE'!AH91+'DATA-ELE'!AH92+'DATA-ELE'!AH93+'DATA-ELE'!AH94+'DATA-ELE'!AH95+'DATA-ELE'!AH97</f>
        <v>1081040.9090000002</v>
      </c>
      <c r="AI31" s="79">
        <f>'DATA-ELE'!AI17-('DATA-ELE'!AI21+'DATA-ELE'!AI22)+'DATA-ELE'!AI23+'DATA-ELE'!AI24+'DATA-ELE'!AI27+'DATA-ELE'!AI28+'DATA-ELE'!AI33+'DATA-ELE'!AI91+'DATA-ELE'!AI92+'DATA-ELE'!AI93+'DATA-ELE'!AI94+'DATA-ELE'!AI95+'DATA-ELE'!AI97</f>
        <v>1218483.9959999998</v>
      </c>
      <c r="AJ31" s="79">
        <f>'DATA-ELE'!AJ17-('DATA-ELE'!AJ21+'DATA-ELE'!AJ22)+'DATA-ELE'!AJ23+'DATA-ELE'!AJ24+'DATA-ELE'!AJ27+'DATA-ELE'!AJ28+'DATA-ELE'!AJ33+'DATA-ELE'!AJ91+'DATA-ELE'!AJ92+'DATA-ELE'!AJ93+'DATA-ELE'!AJ94+'DATA-ELE'!AJ95+'DATA-ELE'!AJ97</f>
        <v>1312554.9269999999</v>
      </c>
      <c r="AM31" s="97">
        <f>AI31/$AM$33</f>
        <v>0.44939576262478204</v>
      </c>
      <c r="AN31" s="97">
        <f>AJ31/$AN$33</f>
        <v>0.47349728543713931</v>
      </c>
      <c r="AO31" s="114">
        <f>AJ31/AI31-1</f>
        <v>7.7203255281820038E-2</v>
      </c>
    </row>
    <row r="32" spans="1:41" x14ac:dyDescent="0.35">
      <c r="A32" s="77" t="s">
        <v>198</v>
      </c>
      <c r="B32" s="79">
        <f>SUM('DATA-ELE'!B61:B90,'DATA-ELE'!B96,'DATA-ELE'!B98)</f>
        <v>1226155.5930000001</v>
      </c>
      <c r="C32" s="79">
        <f>SUM('DATA-ELE'!C61:C90,'DATA-ELE'!C96,'DATA-ELE'!C98)</f>
        <v>1232602.75</v>
      </c>
      <c r="D32" s="79">
        <f>SUM('DATA-ELE'!D61:D90,'DATA-ELE'!D96,'DATA-ELE'!D98)</f>
        <v>1202058.219</v>
      </c>
      <c r="E32" s="79">
        <f>SUM('DATA-ELE'!E61:E90,'DATA-ELE'!E96,'DATA-ELE'!E98)</f>
        <v>1171806.128</v>
      </c>
      <c r="F32" s="79">
        <f>SUM('DATA-ELE'!F61:F90,'DATA-ELE'!F96,'DATA-ELE'!F98)</f>
        <v>1200454.872</v>
      </c>
      <c r="G32" s="79">
        <f>SUM('DATA-ELE'!G61:G90,'DATA-ELE'!G96,'DATA-ELE'!G98)</f>
        <v>1242643.632</v>
      </c>
      <c r="H32" s="79">
        <f>SUM('DATA-ELE'!H61:H90,'DATA-ELE'!H96,'DATA-ELE'!H98)</f>
        <v>1284140.4979999999</v>
      </c>
      <c r="I32" s="79">
        <f>SUM('DATA-ELE'!I61:I90,'DATA-ELE'!I96,'DATA-ELE'!I98)</f>
        <v>1276927.352</v>
      </c>
      <c r="J32" s="79">
        <f>SUM('DATA-ELE'!J61:J90,'DATA-ELE'!J96,'DATA-ELE'!J98)</f>
        <v>1315939.841</v>
      </c>
      <c r="K32" s="79">
        <f>SUM('DATA-ELE'!K61:K90,'DATA-ELE'!K96,'DATA-ELE'!K98)</f>
        <v>1324359.0519999999</v>
      </c>
      <c r="L32" s="79">
        <f>SUM('DATA-ELE'!L61:L90,'DATA-ELE'!L96,'DATA-ELE'!L98)</f>
        <v>1361084.5430000001</v>
      </c>
      <c r="M32" s="79">
        <f>SUM('DATA-ELE'!M61:M90,'DATA-ELE'!M96,'DATA-ELE'!M98)</f>
        <v>1378870.5870000001</v>
      </c>
      <c r="N32" s="79">
        <f>SUM('DATA-ELE'!N61:N90,'DATA-ELE'!N96,'DATA-ELE'!N98)</f>
        <v>1429866.9069999999</v>
      </c>
      <c r="O32" s="79">
        <f>SUM('DATA-ELE'!O61:O90,'DATA-ELE'!O96,'DATA-ELE'!O98)</f>
        <v>1497625.5110000002</v>
      </c>
      <c r="P32" s="79">
        <f>SUM('DATA-ELE'!P61:P90,'DATA-ELE'!P96,'DATA-ELE'!P98)</f>
        <v>1500386.953</v>
      </c>
      <c r="Q32" s="79">
        <f>SUM('DATA-ELE'!Q61:Q90,'DATA-ELE'!Q96,'DATA-ELE'!Q98)</f>
        <v>1523238.8140000002</v>
      </c>
      <c r="R32" s="79">
        <f>SUM('DATA-ELE'!R61:R90,'DATA-ELE'!R96,'DATA-ELE'!R98)</f>
        <v>1553341.5610000002</v>
      </c>
      <c r="S32" s="79">
        <f>SUM('DATA-ELE'!S61:S90,'DATA-ELE'!S96,'DATA-ELE'!S98)</f>
        <v>1583278.6719999998</v>
      </c>
      <c r="T32" s="79">
        <f>SUM('DATA-ELE'!T61:T90,'DATA-ELE'!T96,'DATA-ELE'!T98)</f>
        <v>1539522.8289999997</v>
      </c>
      <c r="U32" s="79">
        <f>SUM('DATA-ELE'!U61:U90,'DATA-ELE'!U96,'DATA-ELE'!U98)</f>
        <v>1418036.2609999997</v>
      </c>
      <c r="V32" s="79">
        <f>SUM('DATA-ELE'!V61:V90,'DATA-ELE'!V96,'DATA-ELE'!V98)</f>
        <v>1443189.4020000002</v>
      </c>
      <c r="W32" s="79">
        <f>SUM('DATA-ELE'!W61:W90,'DATA-ELE'!W96,'DATA-ELE'!W98)</f>
        <v>1428367.2739999997</v>
      </c>
      <c r="X32" s="79">
        <f>SUM('DATA-ELE'!X61:X90,'DATA-ELE'!X96,'DATA-ELE'!X98)</f>
        <v>1366031.4470000002</v>
      </c>
      <c r="Y32" s="79">
        <f>SUM('DATA-ELE'!Y61:Y90,'DATA-ELE'!Y96,'DATA-ELE'!Y98)</f>
        <v>1274316.1200000003</v>
      </c>
      <c r="Z32" s="79">
        <f>SUM('DATA-ELE'!Z61:Z90,'DATA-ELE'!Z96,'DATA-ELE'!Z98)</f>
        <v>1177765.1020000004</v>
      </c>
      <c r="AA32" s="79">
        <f>SUM('DATA-ELE'!AA61:AA90,'DATA-ELE'!AA96,'DATA-ELE'!AA98)</f>
        <v>1230153.757</v>
      </c>
      <c r="AB32" s="79">
        <f>SUM('DATA-ELE'!AB61:AB90,'DATA-ELE'!AB96,'DATA-ELE'!AB98)</f>
        <v>1255173.0489999996</v>
      </c>
      <c r="AC32" s="79">
        <f>SUM('DATA-ELE'!AC61:AC90,'DATA-ELE'!AC96,'DATA-ELE'!AC98)</f>
        <v>1291537.7819999999</v>
      </c>
      <c r="AD32" s="79">
        <f>SUM('DATA-ELE'!AD61:AD90,'DATA-ELE'!AD96,'DATA-ELE'!AD98)</f>
        <v>1209625.1939999994</v>
      </c>
      <c r="AE32" s="79">
        <f>SUM('DATA-ELE'!AE61:AE90,'DATA-ELE'!AE96,'DATA-ELE'!AE98)</f>
        <v>1133445.969</v>
      </c>
      <c r="AF32" s="79">
        <f>SUM('DATA-ELE'!AF61:AF90,'DATA-ELE'!AF96,'DATA-ELE'!AF98)</f>
        <v>1013056.713</v>
      </c>
      <c r="AG32" s="79">
        <f>SUM('DATA-ELE'!AG61:AG90,'DATA-ELE'!AG96,'DATA-ELE'!AG98)</f>
        <v>1074594.588</v>
      </c>
      <c r="AH32" s="79">
        <f>SUM('DATA-ELE'!AH61:AH90,'DATA-ELE'!AH96,'DATA-ELE'!AH98)</f>
        <v>1096763.9920000001</v>
      </c>
      <c r="AI32" s="79">
        <f>SUM('DATA-ELE'!AI61:AI90,'DATA-ELE'!AI96,'DATA-ELE'!AI98)</f>
        <v>873297.61499999999</v>
      </c>
      <c r="AJ32" s="79">
        <f>SUM('DATA-ELE'!AJ61:AJ90,'DATA-ELE'!AJ96,'DATA-ELE'!AJ98)</f>
        <v>810225.40399999975</v>
      </c>
      <c r="AM32" s="97">
        <f>AI32/$AM$33</f>
        <v>0.32208568104273105</v>
      </c>
      <c r="AN32" s="97">
        <f>AJ32/$AN$33</f>
        <v>0.292284552436265</v>
      </c>
      <c r="AO32" s="114">
        <f>AJ32/AI32-1</f>
        <v>-7.2223042771049184E-2</v>
      </c>
    </row>
    <row r="33" spans="1:40" ht="18.649999999999999" customHeight="1" x14ac:dyDescent="0.3">
      <c r="A33" s="20" t="s">
        <v>240</v>
      </c>
      <c r="B33" s="79"/>
      <c r="G33" s="75" t="s">
        <v>267</v>
      </c>
      <c r="AM33" s="80">
        <f>AI30+AI31+AI32</f>
        <v>2711382.9219999998</v>
      </c>
      <c r="AN33" s="80">
        <f>AJ30+AJ31+AJ32</f>
        <v>2772043.1929999995</v>
      </c>
    </row>
    <row r="34" spans="1:40" x14ac:dyDescent="0.35">
      <c r="B34" s="79"/>
    </row>
    <row r="38" spans="1:40" x14ac:dyDescent="0.35">
      <c r="B38" s="78" t="s">
        <v>10</v>
      </c>
      <c r="C38" s="78" t="s">
        <v>11</v>
      </c>
      <c r="D38" s="78" t="s">
        <v>12</v>
      </c>
      <c r="E38" s="78" t="s">
        <v>13</v>
      </c>
      <c r="F38" s="78" t="s">
        <v>14</v>
      </c>
      <c r="G38" s="78" t="s">
        <v>15</v>
      </c>
      <c r="H38" s="78" t="s">
        <v>16</v>
      </c>
      <c r="I38" s="78" t="s">
        <v>17</v>
      </c>
      <c r="J38" s="78" t="s">
        <v>18</v>
      </c>
      <c r="K38" s="78" t="s">
        <v>19</v>
      </c>
      <c r="L38" s="78" t="s">
        <v>20</v>
      </c>
      <c r="M38" s="78" t="s">
        <v>21</v>
      </c>
      <c r="N38" s="78" t="s">
        <v>22</v>
      </c>
      <c r="O38" s="78" t="s">
        <v>23</v>
      </c>
      <c r="P38" s="78" t="s">
        <v>24</v>
      </c>
      <c r="Q38" s="78" t="s">
        <v>25</v>
      </c>
      <c r="R38" s="78" t="s">
        <v>26</v>
      </c>
      <c r="S38" s="78" t="s">
        <v>27</v>
      </c>
      <c r="T38" s="78" t="s">
        <v>28</v>
      </c>
      <c r="U38" s="78" t="s">
        <v>29</v>
      </c>
      <c r="V38" s="78" t="s">
        <v>30</v>
      </c>
      <c r="W38" s="78" t="s">
        <v>31</v>
      </c>
      <c r="X38" s="78" t="s">
        <v>32</v>
      </c>
      <c r="Y38" s="78" t="s">
        <v>33</v>
      </c>
      <c r="Z38" s="78" t="s">
        <v>34</v>
      </c>
      <c r="AA38" s="78" t="s">
        <v>35</v>
      </c>
      <c r="AB38" s="78" t="s">
        <v>36</v>
      </c>
      <c r="AC38" s="78" t="s">
        <v>37</v>
      </c>
      <c r="AD38" s="78" t="s">
        <v>38</v>
      </c>
      <c r="AE38" s="78" t="s">
        <v>39</v>
      </c>
      <c r="AF38" s="78" t="s">
        <v>40</v>
      </c>
      <c r="AG38" s="78" t="s">
        <v>41</v>
      </c>
      <c r="AH38" s="78" t="s">
        <v>42</v>
      </c>
      <c r="AI38" s="78">
        <v>2023</v>
      </c>
      <c r="AJ38" s="78">
        <v>2024</v>
      </c>
    </row>
    <row r="39" spans="1:40" x14ac:dyDescent="0.35">
      <c r="A39" s="77" t="s">
        <v>201</v>
      </c>
      <c r="B39" s="83">
        <f>'DATA-COAL'!C22</f>
        <v>277420.505</v>
      </c>
      <c r="C39" s="83">
        <f>'DATA-COAL'!D22</f>
        <v>261036.997</v>
      </c>
      <c r="D39" s="83">
        <f>'DATA-COAL'!E22</f>
        <v>251049.274</v>
      </c>
      <c r="E39" s="83">
        <f>'DATA-COAL'!F22</f>
        <v>236744.6</v>
      </c>
      <c r="F39" s="83">
        <f>'DATA-COAL'!G22</f>
        <v>231356.20499999999</v>
      </c>
      <c r="G39" s="83">
        <f>'DATA-COAL'!H22</f>
        <v>233296.2</v>
      </c>
      <c r="H39" s="83">
        <f>'DATA-COAL'!I22</f>
        <v>227824.4</v>
      </c>
      <c r="I39" s="83">
        <f>'DATA-COAL'!J22</f>
        <v>224534.5</v>
      </c>
      <c r="J39" s="83">
        <f>'DATA-COAL'!K22</f>
        <v>194246.8</v>
      </c>
      <c r="K39" s="83">
        <f>'DATA-COAL'!L22</f>
        <v>184048.3</v>
      </c>
      <c r="L39" s="83">
        <f>'DATA-COAL'!M22</f>
        <v>169332</v>
      </c>
      <c r="M39" s="83">
        <f>'DATA-COAL'!N22</f>
        <v>161885</v>
      </c>
      <c r="N39" s="83">
        <f>'DATA-COAL'!O22</f>
        <v>157904</v>
      </c>
      <c r="O39" s="83">
        <f>'DATA-COAL'!P22</f>
        <v>155503</v>
      </c>
      <c r="P39" s="83">
        <f>'DATA-COAL'!Q22</f>
        <v>152173</v>
      </c>
      <c r="Q39" s="83">
        <f>'DATA-COAL'!R22</f>
        <v>147034</v>
      </c>
      <c r="R39" s="83">
        <f>'DATA-COAL'!S22</f>
        <v>139955</v>
      </c>
      <c r="S39" s="83">
        <f>'DATA-COAL'!T22</f>
        <v>132551</v>
      </c>
      <c r="T39" s="83">
        <f>'DATA-COAL'!U22</f>
        <v>122939</v>
      </c>
      <c r="U39" s="83">
        <f>'DATA-COAL'!V22</f>
        <v>110512</v>
      </c>
      <c r="V39" s="83">
        <f>'DATA-COAL'!W22</f>
        <v>107816</v>
      </c>
      <c r="W39" s="83">
        <f>'DATA-COAL'!X22</f>
        <v>104259</v>
      </c>
      <c r="X39" s="83">
        <f>'DATA-COAL'!Y22</f>
        <v>106230</v>
      </c>
      <c r="Y39" s="83">
        <f>'DATA-COAL'!Z22</f>
        <v>95941</v>
      </c>
      <c r="Z39" s="83">
        <f>'DATA-COAL'!AA22</f>
        <v>92315</v>
      </c>
      <c r="AA39" s="83">
        <f>'DATA-COAL'!AB22</f>
        <v>88889</v>
      </c>
      <c r="AB39" s="83">
        <f>'DATA-COAL'!AC22</f>
        <v>82318</v>
      </c>
      <c r="AC39" s="83">
        <f>'DATA-COAL'!AD22</f>
        <v>75892.292000000001</v>
      </c>
      <c r="AD39" s="83">
        <f>'DATA-COAL'!AE22</f>
        <v>71297.092999999993</v>
      </c>
      <c r="AE39" s="83">
        <f>'DATA-COAL'!AF22</f>
        <v>65055.502999999997</v>
      </c>
      <c r="AF39" s="83">
        <f>'DATA-COAL'!AG22</f>
        <v>56531.347000000002</v>
      </c>
      <c r="AG39" s="83">
        <f>'DATA-COAL'!AH22</f>
        <v>57185.258999999998</v>
      </c>
      <c r="AH39" s="83">
        <f>'DATA-COAL'!AI22</f>
        <v>54512.514999999999</v>
      </c>
      <c r="AI39" s="83">
        <f>'DATA-COAL'!AJ22</f>
        <v>49721.788999999997</v>
      </c>
      <c r="AJ39" s="83">
        <f>'DATA-COAL'!AK22</f>
        <v>45295.836000000003</v>
      </c>
    </row>
    <row r="40" spans="1:40" x14ac:dyDescent="0.35">
      <c r="A40" s="77" t="s">
        <v>202</v>
      </c>
      <c r="B40" s="83">
        <f>'DATA-COAL'!C50</f>
        <v>676316.24699999997</v>
      </c>
      <c r="C40" s="83">
        <f>'DATA-COAL'!D50</f>
        <v>586481.80000000005</v>
      </c>
      <c r="D40" s="83">
        <f>'DATA-COAL'!E50</f>
        <v>543955</v>
      </c>
      <c r="E40" s="83">
        <f>'DATA-COAL'!F50</f>
        <v>524051.5</v>
      </c>
      <c r="F40" s="83">
        <f>'DATA-COAL'!G50</f>
        <v>499214</v>
      </c>
      <c r="G40" s="83">
        <f>'DATA-COAL'!H50</f>
        <v>483626</v>
      </c>
      <c r="H40" s="83">
        <f>'DATA-COAL'!I50</f>
        <v>482844.9</v>
      </c>
      <c r="I40" s="83">
        <f>'DATA-COAL'!J50</f>
        <v>459262</v>
      </c>
      <c r="J40" s="83">
        <f>'DATA-COAL'!K50</f>
        <v>436445</v>
      </c>
      <c r="K40" s="83">
        <f>'DATA-COAL'!L50</f>
        <v>414100</v>
      </c>
      <c r="L40" s="83">
        <f>'DATA-COAL'!M50</f>
        <v>432561</v>
      </c>
      <c r="M40" s="83">
        <f>'DATA-COAL'!N50</f>
        <v>447120</v>
      </c>
      <c r="N40" s="83">
        <f>'DATA-COAL'!O50</f>
        <v>450629</v>
      </c>
      <c r="O40" s="83">
        <f>'DATA-COAL'!P50</f>
        <v>452411</v>
      </c>
      <c r="P40" s="83">
        <f>'DATA-COAL'!Q50</f>
        <v>450720</v>
      </c>
      <c r="Q40" s="83">
        <f>'DATA-COAL'!R50</f>
        <v>441059</v>
      </c>
      <c r="R40" s="83">
        <f>'DATA-COAL'!S50</f>
        <v>438813</v>
      </c>
      <c r="S40" s="83">
        <f>'DATA-COAL'!T50</f>
        <v>443958</v>
      </c>
      <c r="T40" s="83">
        <f>'DATA-COAL'!U50</f>
        <v>432067</v>
      </c>
      <c r="U40" s="83">
        <f>'DATA-COAL'!V50</f>
        <v>416864</v>
      </c>
      <c r="V40" s="83">
        <f>'DATA-COAL'!W50</f>
        <v>405078</v>
      </c>
      <c r="W40" s="83">
        <f>'DATA-COAL'!X50</f>
        <v>436061</v>
      </c>
      <c r="X40" s="83">
        <f>'DATA-COAL'!Y50</f>
        <v>441689</v>
      </c>
      <c r="Y40" s="83">
        <f>'DATA-COAL'!Z50</f>
        <v>413803</v>
      </c>
      <c r="Z40" s="83">
        <f>'DATA-COAL'!AA50</f>
        <v>401987</v>
      </c>
      <c r="AA40" s="83">
        <f>'DATA-COAL'!AB50</f>
        <v>402581</v>
      </c>
      <c r="AB40" s="83">
        <f>'DATA-COAL'!AC50</f>
        <v>372312</v>
      </c>
      <c r="AC40" s="83">
        <f>'DATA-COAL'!AD50</f>
        <v>384491.29300000001</v>
      </c>
      <c r="AD40" s="83">
        <f>'DATA-COAL'!AE50</f>
        <v>368665.16499999998</v>
      </c>
      <c r="AE40" s="83">
        <f>'DATA-COAL'!AF50</f>
        <v>307597.027</v>
      </c>
      <c r="AF40" s="83">
        <f>'DATA-COAL'!AG50</f>
        <v>244456.87899999999</v>
      </c>
      <c r="AG40" s="83">
        <f>'DATA-COAL'!AH50</f>
        <v>274986.12900000002</v>
      </c>
      <c r="AH40" s="83">
        <f>'DATA-COAL'!AI50</f>
        <v>294932.114</v>
      </c>
      <c r="AI40" s="83">
        <f>'DATA-COAL'!AJ50</f>
        <v>224909.41399999999</v>
      </c>
      <c r="AJ40" s="83">
        <f>'DATA-COAL'!AK50</f>
        <v>196556.32800000001</v>
      </c>
    </row>
    <row r="41" spans="1:40" x14ac:dyDescent="0.35">
      <c r="A41" s="77" t="s">
        <v>236</v>
      </c>
      <c r="B41" s="83">
        <f>'DATA-COAL'!C17-'DATA-COAL'!C18</f>
        <v>112073.049</v>
      </c>
      <c r="C41" s="83">
        <f>'DATA-COAL'!D17-'DATA-COAL'!D18</f>
        <v>121967.394</v>
      </c>
      <c r="D41" s="83">
        <f>'DATA-COAL'!E17-'DATA-COAL'!E18</f>
        <v>120109.81899999999</v>
      </c>
      <c r="E41" s="83">
        <f>'DATA-COAL'!F17-'DATA-COAL'!F18</f>
        <v>98775.499000000011</v>
      </c>
      <c r="F41" s="83">
        <f>'DATA-COAL'!G17-'DATA-COAL'!G18</f>
        <v>99121.883000000002</v>
      </c>
      <c r="G41" s="83">
        <f>'DATA-COAL'!H17-'DATA-COAL'!H18</f>
        <v>104537.272</v>
      </c>
      <c r="H41" s="83">
        <f>'DATA-COAL'!I17-'DATA-COAL'!I18</f>
        <v>110943.965</v>
      </c>
      <c r="I41" s="83">
        <f>'DATA-COAL'!J17-'DATA-COAL'!J18</f>
        <v>111785.36499999999</v>
      </c>
      <c r="J41" s="83">
        <f>'DATA-COAL'!K17-'DATA-COAL'!K18</f>
        <v>115346.674</v>
      </c>
      <c r="K41" s="83">
        <f>'DATA-COAL'!L17-'DATA-COAL'!L18</f>
        <v>114828.288</v>
      </c>
      <c r="L41" s="83">
        <f>'DATA-COAL'!M17-'DATA-COAL'!M18</f>
        <v>131209.31700000001</v>
      </c>
      <c r="M41" s="83">
        <f>'DATA-COAL'!N17-'DATA-COAL'!N18</f>
        <v>137032.753</v>
      </c>
      <c r="N41" s="83">
        <f>'DATA-COAL'!O17-'DATA-COAL'!O18</f>
        <v>139978.25599999999</v>
      </c>
      <c r="O41" s="83">
        <f>'DATA-COAL'!P17-'DATA-COAL'!P18</f>
        <v>150052.117</v>
      </c>
      <c r="P41" s="83">
        <f>'DATA-COAL'!Q17-'DATA-COAL'!Q18</f>
        <v>161482.93599999999</v>
      </c>
      <c r="Q41" s="83">
        <f>'DATA-COAL'!R17-'DATA-COAL'!R18</f>
        <v>153114.46100000001</v>
      </c>
      <c r="R41" s="83">
        <f>'DATA-COAL'!S17-'DATA-COAL'!S18</f>
        <v>165747.63699999999</v>
      </c>
      <c r="S41" s="83">
        <f>'DATA-COAL'!T17-'DATA-COAL'!T18</f>
        <v>173231.10800000001</v>
      </c>
      <c r="T41" s="83">
        <f>'DATA-COAL'!U17-'DATA-COAL'!U18</f>
        <v>174096.52399999998</v>
      </c>
      <c r="U41" s="83">
        <f>'DATA-COAL'!V17-'DATA-COAL'!V18</f>
        <v>137305.91700000002</v>
      </c>
      <c r="V41" s="83">
        <f>'DATA-COAL'!W17-'DATA-COAL'!W18</f>
        <v>148593.068</v>
      </c>
      <c r="W41" s="83">
        <f>'DATA-COAL'!X17-'DATA-COAL'!X18</f>
        <v>162088.43900000001</v>
      </c>
      <c r="X41" s="83">
        <f>'DATA-COAL'!Y17-'DATA-COAL'!Y18</f>
        <v>159814.726</v>
      </c>
      <c r="Y41" s="83">
        <f>'DATA-COAL'!Z17-'DATA-COAL'!Z18</f>
        <v>152137.95300000001</v>
      </c>
      <c r="Z41" s="83">
        <f>'DATA-COAL'!AA17-'DATA-COAL'!AA18</f>
        <v>153993.01499999998</v>
      </c>
      <c r="AA41" s="83">
        <f>'DATA-COAL'!AB17-'DATA-COAL'!AB18</f>
        <v>152513.40400000001</v>
      </c>
      <c r="AB41" s="83">
        <f>'DATA-COAL'!AC17-'DATA-COAL'!AC18</f>
        <v>145807.10399999999</v>
      </c>
      <c r="AC41" s="83">
        <f>'DATA-COAL'!AD17-'DATA-COAL'!AD18</f>
        <v>152498.73699999999</v>
      </c>
      <c r="AD41" s="83">
        <f>'DATA-COAL'!AE17-'DATA-COAL'!AE18</f>
        <v>146341.60500000001</v>
      </c>
      <c r="AE41" s="83">
        <f>'DATA-COAL'!AF17-'DATA-COAL'!AF18</f>
        <v>117558.177</v>
      </c>
      <c r="AF41" s="83">
        <f>'DATA-COAL'!AG17-'DATA-COAL'!AG18</f>
        <v>77587.991000000009</v>
      </c>
      <c r="AG41" s="83">
        <f>'DATA-COAL'!AH17-'DATA-COAL'!AH18</f>
        <v>93515.634999999995</v>
      </c>
      <c r="AH41" s="83">
        <f>'DATA-COAL'!AI17-'DATA-COAL'!AI18</f>
        <v>116853.82</v>
      </c>
      <c r="AI41" s="83">
        <f>'DATA-COAL'!AJ17-'DATA-COAL'!AJ18</f>
        <v>78213.188000000009</v>
      </c>
      <c r="AJ41" s="83">
        <f>'DATA-COAL'!AK17-'DATA-COAL'!AK18</f>
        <v>57215.003999999994</v>
      </c>
    </row>
    <row r="42" spans="1:40" ht="18.649999999999999" customHeight="1" x14ac:dyDescent="0.3">
      <c r="A42" s="20" t="s">
        <v>239</v>
      </c>
      <c r="B42" s="83"/>
      <c r="C42" s="80"/>
      <c r="D42" s="80"/>
      <c r="E42" s="80"/>
      <c r="F42" s="80"/>
      <c r="G42" s="76" t="s">
        <v>266</v>
      </c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J42" s="81">
        <f>AJ41/SUM(AJ39:AJ41)</f>
        <v>0.19131155179160286</v>
      </c>
    </row>
    <row r="43" spans="1:40" x14ac:dyDescent="0.35"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</row>
    <row r="44" spans="1:40" x14ac:dyDescent="0.35"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B2:M87"/>
  <sheetViews>
    <sheetView tabSelected="1" topLeftCell="A20" zoomScaleNormal="100" workbookViewId="0">
      <selection activeCell="K30" sqref="K30"/>
    </sheetView>
  </sheetViews>
  <sheetFormatPr defaultColWidth="9.1796875" defaultRowHeight="12.5" x14ac:dyDescent="0.35"/>
  <cols>
    <col min="1" max="1" width="6.81640625" style="22" bestFit="1" customWidth="1"/>
    <col min="2" max="2" width="9" style="22" customWidth="1"/>
    <col min="3" max="3" width="29.1796875" style="22" customWidth="1"/>
    <col min="4" max="8" width="10.7265625" style="22" customWidth="1"/>
    <col min="9" max="9" width="10.7265625" style="40" customWidth="1"/>
    <col min="10" max="16384" width="9.1796875" style="22"/>
  </cols>
  <sheetData>
    <row r="2" spans="2:13" ht="15.5" x14ac:dyDescent="0.35">
      <c r="B2" s="1" t="s">
        <v>252</v>
      </c>
      <c r="C2" s="20"/>
    </row>
    <row r="3" spans="2:13" ht="26" x14ac:dyDescent="0.35">
      <c r="B3" s="119"/>
      <c r="C3" s="119"/>
      <c r="D3" s="21">
        <v>2019</v>
      </c>
      <c r="E3" s="21">
        <v>2020</v>
      </c>
      <c r="F3" s="99">
        <v>2021</v>
      </c>
      <c r="G3" s="99">
        <v>2022</v>
      </c>
      <c r="H3" s="99">
        <v>2023</v>
      </c>
      <c r="I3" s="123" t="s">
        <v>303</v>
      </c>
      <c r="K3" s="23" t="s">
        <v>304</v>
      </c>
      <c r="L3" s="24" t="s">
        <v>305</v>
      </c>
      <c r="M3" s="22" t="s">
        <v>309</v>
      </c>
    </row>
    <row r="4" spans="2:13" ht="13" x14ac:dyDescent="0.35">
      <c r="B4" s="120" t="s">
        <v>229</v>
      </c>
      <c r="C4" s="26" t="s">
        <v>47</v>
      </c>
      <c r="D4" s="27">
        <f>'DATA-REN'!AF14</f>
        <v>122.075</v>
      </c>
      <c r="E4" s="27">
        <f>'DATA-REN'!AG14</f>
        <v>122.14100000000001</v>
      </c>
      <c r="F4" s="27">
        <f>'DATA-REN'!AH14</f>
        <v>121.556</v>
      </c>
      <c r="G4" s="27">
        <f>'DATA-REN'!AI14</f>
        <v>140.42699999999999</v>
      </c>
      <c r="H4" s="27">
        <f>'DATA-REN'!AJ14</f>
        <v>136.82</v>
      </c>
      <c r="I4" s="125">
        <f>'DATA-REN'!AK14</f>
        <v>132.589</v>
      </c>
      <c r="K4" s="28">
        <f>I4/H4-1</f>
        <v>-3.0923841543633923E-2</v>
      </c>
      <c r="L4" s="29">
        <f>I4/AVERAGE(D4:F4)-1</f>
        <v>8.747252386732729E-2</v>
      </c>
      <c r="M4" s="29">
        <f>I4/D4-1</f>
        <v>8.6127380708580725E-2</v>
      </c>
    </row>
    <row r="5" spans="2:13" ht="13" hidden="1" x14ac:dyDescent="0.35">
      <c r="B5" s="121"/>
      <c r="C5" s="31" t="s">
        <v>49</v>
      </c>
      <c r="D5" s="32">
        <f>'DATA-REN'!AF15</f>
        <v>551.25099999999998</v>
      </c>
      <c r="E5" s="32">
        <f>'DATA-REN'!AG15</f>
        <v>520.66499999999996</v>
      </c>
      <c r="F5" s="32">
        <f>'DATA-REN'!AH15</f>
        <v>490.03899999999999</v>
      </c>
      <c r="G5" s="32">
        <f>'DATA-REN'!AI15</f>
        <v>433.714</v>
      </c>
      <c r="H5" s="32">
        <f>'DATA-REN'!AJ15</f>
        <v>448.31099999999998</v>
      </c>
      <c r="I5" s="131">
        <f>'DATA-REN'!AK15</f>
        <v>405.44499999999999</v>
      </c>
      <c r="K5" s="28">
        <f t="shared" ref="K5:K15" si="0">I5/H5-1</f>
        <v>-9.5616658971116042E-2</v>
      </c>
      <c r="L5" s="29">
        <f t="shared" ref="L5:L15" si="1">I5/AVERAGE(D5:F5)-1</f>
        <v>-0.22127398036435109</v>
      </c>
      <c r="M5" s="29">
        <f t="shared" ref="M5:M27" si="2">I5/D5-1</f>
        <v>-0.26450020045315104</v>
      </c>
    </row>
    <row r="6" spans="2:13" ht="13" hidden="1" x14ac:dyDescent="0.35">
      <c r="B6" s="121"/>
      <c r="C6" s="31" t="s">
        <v>50</v>
      </c>
      <c r="D6" s="32">
        <f>'DATA-REN'!AF16</f>
        <v>61.228000000000002</v>
      </c>
      <c r="E6" s="32">
        <f>'DATA-REN'!AG16</f>
        <v>71.010000000000005</v>
      </c>
      <c r="F6" s="32">
        <f>'DATA-REN'!AH16</f>
        <v>75.984999999999999</v>
      </c>
      <c r="G6" s="32">
        <f>'DATA-REN'!AI16</f>
        <v>59.850999999999999</v>
      </c>
      <c r="H6" s="32">
        <f>'DATA-REN'!AJ16</f>
        <v>65.248000000000005</v>
      </c>
      <c r="I6" s="131">
        <f>'DATA-REN'!AK16</f>
        <v>64.456000000000003</v>
      </c>
      <c r="K6" s="28">
        <f t="shared" si="0"/>
        <v>-1.2138303089749947E-2</v>
      </c>
      <c r="L6" s="29">
        <f t="shared" si="1"/>
        <v>-7.1341782608069226E-2</v>
      </c>
      <c r="M6" s="29">
        <f t="shared" si="2"/>
        <v>5.2720977330632968E-2</v>
      </c>
    </row>
    <row r="7" spans="2:13" ht="13" x14ac:dyDescent="0.35">
      <c r="B7" s="121"/>
      <c r="C7" s="33" t="s">
        <v>83</v>
      </c>
      <c r="D7" s="34">
        <f>D5-D6</f>
        <v>490.02299999999997</v>
      </c>
      <c r="E7" s="34">
        <f t="shared" ref="E7:I7" si="3">E5-E6</f>
        <v>449.65499999999997</v>
      </c>
      <c r="F7" s="34">
        <f t="shared" si="3"/>
        <v>414.05399999999997</v>
      </c>
      <c r="G7" s="34">
        <f t="shared" si="3"/>
        <v>373.863</v>
      </c>
      <c r="H7" s="34">
        <f t="shared" si="3"/>
        <v>383.06299999999999</v>
      </c>
      <c r="I7" s="125">
        <f t="shared" si="3"/>
        <v>340.98899999999998</v>
      </c>
      <c r="K7" s="28">
        <f t="shared" si="0"/>
        <v>-0.10983571892874022</v>
      </c>
      <c r="L7" s="29">
        <f t="shared" si="1"/>
        <v>-0.24433565875668151</v>
      </c>
      <c r="M7" s="29">
        <f t="shared" si="2"/>
        <v>-0.30413674460178397</v>
      </c>
    </row>
    <row r="8" spans="2:13" ht="13" x14ac:dyDescent="0.35">
      <c r="B8" s="121"/>
      <c r="C8" s="33" t="s">
        <v>51</v>
      </c>
      <c r="D8" s="34">
        <f>'DATA-REN'!AF17</f>
        <v>-2.7240000000000002</v>
      </c>
      <c r="E8" s="34">
        <f>'DATA-REN'!AG17</f>
        <v>-2.903</v>
      </c>
      <c r="F8" s="34">
        <f>'DATA-REN'!AH17</f>
        <v>3.6560000000000001</v>
      </c>
      <c r="G8" s="34">
        <f>'DATA-REN'!AI17</f>
        <v>-1.95</v>
      </c>
      <c r="H8" s="34">
        <f>'DATA-REN'!AJ17</f>
        <v>1.8640000000000001</v>
      </c>
      <c r="I8" s="125">
        <f>'DATA-REN'!AK17</f>
        <v>0.152</v>
      </c>
      <c r="K8" s="28"/>
      <c r="L8" s="29"/>
      <c r="M8" s="29"/>
    </row>
    <row r="9" spans="2:13" ht="13" x14ac:dyDescent="0.35">
      <c r="B9" s="122"/>
      <c r="C9" s="37" t="s">
        <v>73</v>
      </c>
      <c r="D9" s="38">
        <f>'DATA-REN'!AF18</f>
        <v>609.37400000000002</v>
      </c>
      <c r="E9" s="38">
        <f>'DATA-REN'!AG18</f>
        <v>568.89300000000003</v>
      </c>
      <c r="F9" s="38">
        <f>'DATA-REN'!AH18</f>
        <v>539.26599999999996</v>
      </c>
      <c r="G9" s="38">
        <f>'DATA-REN'!AI18</f>
        <v>512.34</v>
      </c>
      <c r="H9" s="38">
        <f>'DATA-REN'!AJ18</f>
        <v>521.74699999999996</v>
      </c>
      <c r="I9" s="135">
        <f>'DATA-REN'!AK18</f>
        <v>473.73</v>
      </c>
      <c r="K9" s="28">
        <f t="shared" si="0"/>
        <v>-9.2031195196139004E-2</v>
      </c>
      <c r="L9" s="29">
        <f t="shared" si="1"/>
        <v>-0.17253991626361753</v>
      </c>
      <c r="M9" s="29">
        <f t="shared" si="2"/>
        <v>-0.22259564733644688</v>
      </c>
    </row>
    <row r="10" spans="2:13" ht="13" x14ac:dyDescent="0.35">
      <c r="B10" s="120" t="s">
        <v>228</v>
      </c>
      <c r="C10" s="26" t="s">
        <v>47</v>
      </c>
      <c r="D10" s="27">
        <f>'DATA-REN'!AF19+'DATA-REN'!AF24+'DATA-REN'!AF29+'DATA-REN'!AF34</f>
        <v>18665.023000000001</v>
      </c>
      <c r="E10" s="27">
        <f>'DATA-REN'!AG19+'DATA-REN'!AG24+'DATA-REN'!AG29+'DATA-REN'!AG34</f>
        <v>18032.555000000004</v>
      </c>
      <c r="F10" s="27">
        <f>'DATA-REN'!AH19+'DATA-REN'!AH24+'DATA-REN'!AH29+'DATA-REN'!AH34</f>
        <v>18572.504000000001</v>
      </c>
      <c r="G10" s="27">
        <f>'DATA-REN'!AI19+'DATA-REN'!AI24+'DATA-REN'!AI29+'DATA-REN'!AI34</f>
        <v>18003.27</v>
      </c>
      <c r="H10" s="27">
        <f>'DATA-REN'!AJ19+'DATA-REN'!AJ24+'DATA-REN'!AJ29+'DATA-REN'!AJ34</f>
        <v>18370.541999999998</v>
      </c>
      <c r="I10" s="130">
        <f>'DATA-REN'!AK19+'DATA-REN'!AK24+'DATA-REN'!AK29+'DATA-REN'!AK34</f>
        <v>18505.884999999998</v>
      </c>
      <c r="K10" s="28">
        <f t="shared" si="0"/>
        <v>7.3673928618982476E-3</v>
      </c>
      <c r="L10" s="29">
        <f t="shared" si="1"/>
        <v>4.4793311506210465E-3</v>
      </c>
      <c r="M10" s="29">
        <f t="shared" si="2"/>
        <v>-8.5260007448156871E-3</v>
      </c>
    </row>
    <row r="11" spans="2:13" ht="13" hidden="1" x14ac:dyDescent="0.35">
      <c r="B11" s="121"/>
      <c r="C11" s="31" t="s">
        <v>49</v>
      </c>
      <c r="D11" s="32">
        <f>'DATA-REN'!AF20+'DATA-REN'!AF25+'DATA-REN'!AF30+'DATA-REN'!AF35</f>
        <v>11749.773999999999</v>
      </c>
      <c r="E11" s="32">
        <f>'DATA-REN'!AG20+'DATA-REN'!AG25+'DATA-REN'!AG30+'DATA-REN'!AG35</f>
        <v>12624.605000000001</v>
      </c>
      <c r="F11" s="32">
        <f>'DATA-REN'!AH20+'DATA-REN'!AH25+'DATA-REN'!AH30+'DATA-REN'!AH35</f>
        <v>13429.964</v>
      </c>
      <c r="G11" s="32">
        <f>'DATA-REN'!AI20+'DATA-REN'!AI25+'DATA-REN'!AI30+'DATA-REN'!AI35</f>
        <v>14089.878000000001</v>
      </c>
      <c r="H11" s="32">
        <f>'DATA-REN'!AJ20+'DATA-REN'!AJ25+'DATA-REN'!AJ30+'DATA-REN'!AJ35</f>
        <v>13620.072999999999</v>
      </c>
      <c r="I11" s="131">
        <f>'DATA-REN'!AK20+'DATA-REN'!AK25+'DATA-REN'!AK30+'DATA-REN'!AK35</f>
        <v>12171.719000000001</v>
      </c>
      <c r="K11" s="28">
        <f t="shared" si="0"/>
        <v>-0.10633966499298486</v>
      </c>
      <c r="L11" s="29">
        <f t="shared" si="1"/>
        <v>-3.4101531667935503E-2</v>
      </c>
      <c r="M11" s="29">
        <f t="shared" si="2"/>
        <v>3.5910903477803124E-2</v>
      </c>
    </row>
    <row r="12" spans="2:13" ht="13" hidden="1" x14ac:dyDescent="0.35">
      <c r="B12" s="121"/>
      <c r="C12" s="31" t="s">
        <v>50</v>
      </c>
      <c r="D12" s="32">
        <f>'DATA-REN'!AF21+'DATA-REN'!AF26+'DATA-REN'!AF31+'DATA-REN'!AF36</f>
        <v>9679.4510000000009</v>
      </c>
      <c r="E12" s="32">
        <f>'DATA-REN'!AG21+'DATA-REN'!AG26+'DATA-REN'!AG31+'DATA-REN'!AG36</f>
        <v>9764.3009999999995</v>
      </c>
      <c r="F12" s="32">
        <f>'DATA-REN'!AH21+'DATA-REN'!AH26+'DATA-REN'!AH31+'DATA-REN'!AH36</f>
        <v>10513.459000000001</v>
      </c>
      <c r="G12" s="32">
        <f>'DATA-REN'!AI21+'DATA-REN'!AI26+'DATA-REN'!AI31+'DATA-REN'!AI36</f>
        <v>9953.8260000000009</v>
      </c>
      <c r="H12" s="32">
        <f>'DATA-REN'!AJ21+'DATA-REN'!AJ26+'DATA-REN'!AJ31+'DATA-REN'!AJ36</f>
        <v>10036.675999999999</v>
      </c>
      <c r="I12" s="131">
        <f>'DATA-REN'!AK21+'DATA-REN'!AK26+'DATA-REN'!AK31+'DATA-REN'!AK36</f>
        <v>9307.232</v>
      </c>
      <c r="K12" s="28">
        <f t="shared" si="0"/>
        <v>-7.2677846729335416E-2</v>
      </c>
      <c r="L12" s="29">
        <f t="shared" si="1"/>
        <v>-6.7947413395726408E-2</v>
      </c>
      <c r="M12" s="29">
        <f t="shared" si="2"/>
        <v>-3.8454556978489873E-2</v>
      </c>
    </row>
    <row r="13" spans="2:13" ht="13" x14ac:dyDescent="0.35">
      <c r="B13" s="121"/>
      <c r="C13" s="33" t="s">
        <v>83</v>
      </c>
      <c r="D13" s="34">
        <f t="shared" ref="D13:I13" si="4">D11-D12</f>
        <v>2070.3229999999985</v>
      </c>
      <c r="E13" s="34">
        <f t="shared" si="4"/>
        <v>2860.3040000000019</v>
      </c>
      <c r="F13" s="34">
        <f t="shared" si="4"/>
        <v>2916.5049999999992</v>
      </c>
      <c r="G13" s="34">
        <f t="shared" si="4"/>
        <v>4136.0519999999997</v>
      </c>
      <c r="H13" s="34">
        <f t="shared" si="4"/>
        <v>3583.396999999999</v>
      </c>
      <c r="I13" s="125">
        <f t="shared" si="4"/>
        <v>2864.487000000001</v>
      </c>
      <c r="K13" s="28">
        <f t="shared" si="0"/>
        <v>-0.2006224819633432</v>
      </c>
      <c r="L13" s="29">
        <f t="shared" si="1"/>
        <v>9.5108505884698324E-2</v>
      </c>
      <c r="M13" s="29">
        <f t="shared" si="2"/>
        <v>0.38359425075217879</v>
      </c>
    </row>
    <row r="14" spans="2:13" ht="13" x14ac:dyDescent="0.35">
      <c r="B14" s="121"/>
      <c r="C14" s="33" t="s">
        <v>51</v>
      </c>
      <c r="D14" s="34">
        <f>'DATA-REN'!AF22+'DATA-REN'!AF27+'DATA-REN'!AF32+'DATA-REN'!AF37</f>
        <v>-96.683999999999997</v>
      </c>
      <c r="E14" s="34">
        <f>'DATA-REN'!AG22+'DATA-REN'!AG27+'DATA-REN'!AG32+'DATA-REN'!AG37</f>
        <v>59.823</v>
      </c>
      <c r="F14" s="34">
        <f>'DATA-REN'!AH22+'DATA-REN'!AH27+'DATA-REN'!AH32+'DATA-REN'!AH37</f>
        <v>454.87800000000004</v>
      </c>
      <c r="G14" s="34">
        <f>'DATA-REN'!AI22+'DATA-REN'!AI27+'DATA-REN'!AI32+'DATA-REN'!AI37</f>
        <v>33.319999999999993</v>
      </c>
      <c r="H14" s="34">
        <f>'DATA-REN'!AJ22+'DATA-REN'!AJ27+'DATA-REN'!AJ32+'DATA-REN'!AJ37</f>
        <v>431.16800000000001</v>
      </c>
      <c r="I14" s="125">
        <f>'DATA-REN'!AK22+'DATA-REN'!AK27+'DATA-REN'!AK32+'DATA-REN'!AK37</f>
        <v>386.84699999999998</v>
      </c>
      <c r="K14" s="28"/>
      <c r="L14" s="29"/>
      <c r="M14" s="29"/>
    </row>
    <row r="15" spans="2:13" ht="13" x14ac:dyDescent="0.35">
      <c r="B15" s="122"/>
      <c r="C15" s="37" t="s">
        <v>73</v>
      </c>
      <c r="D15" s="38">
        <f>'DATA-REN'!AF23+'DATA-REN'!AF28+'DATA-REN'!AF33+'DATA-REN'!AF38</f>
        <v>20638.661999999997</v>
      </c>
      <c r="E15" s="38">
        <f>'DATA-REN'!AG23+'DATA-REN'!AG28+'DATA-REN'!AG33+'DATA-REN'!AG38</f>
        <v>20952.681999999997</v>
      </c>
      <c r="F15" s="38">
        <f>'DATA-REN'!AH23+'DATA-REN'!AH28+'DATA-REN'!AH33+'DATA-REN'!AH38</f>
        <v>21943.886999999999</v>
      </c>
      <c r="G15" s="38">
        <f>'DATA-REN'!AI23+'DATA-REN'!AI28+'DATA-REN'!AI33+'DATA-REN'!AI38</f>
        <v>22172.642</v>
      </c>
      <c r="H15" s="38">
        <f>'DATA-REN'!AJ23+'DATA-REN'!AJ28+'DATA-REN'!AJ33+'DATA-REN'!AJ38</f>
        <v>22385.107000000004</v>
      </c>
      <c r="I15" s="135">
        <f>'DATA-REN'!AK23+'DATA-REN'!AK28+'DATA-REN'!AK33+'DATA-REN'!AK38</f>
        <v>21757.219000000001</v>
      </c>
      <c r="K15" s="28">
        <f t="shared" si="0"/>
        <v>-2.8049363355734824E-2</v>
      </c>
      <c r="L15" s="29">
        <f t="shared" si="1"/>
        <v>2.733012806705637E-2</v>
      </c>
      <c r="M15" s="29">
        <f t="shared" si="2"/>
        <v>5.4197166463601398E-2</v>
      </c>
    </row>
    <row r="16" spans="2:13" ht="13" x14ac:dyDescent="0.35">
      <c r="B16" s="120" t="s">
        <v>230</v>
      </c>
      <c r="C16" s="26" t="s">
        <v>47</v>
      </c>
      <c r="D16" s="27">
        <f>'DATA-REN'!AF66</f>
        <v>3977228.5950000002</v>
      </c>
      <c r="E16" s="27">
        <f>'DATA-REN'!AG66</f>
        <v>3909394.2940000002</v>
      </c>
      <c r="F16" s="27">
        <f>'DATA-REN'!AH66</f>
        <v>4221808.4960000003</v>
      </c>
      <c r="G16" s="27">
        <f>'DATA-REN'!AI66</f>
        <v>4100781.327</v>
      </c>
      <c r="H16" s="27">
        <f>'DATA-REN'!AJ66</f>
        <v>3935065.219</v>
      </c>
      <c r="I16" s="130">
        <f>'DATA-REN'!AK66</f>
        <v>3920620.43</v>
      </c>
      <c r="K16" s="28">
        <f t="shared" ref="K16:K19" si="5">I16/H16-1</f>
        <v>-3.6707876988302246E-3</v>
      </c>
      <c r="L16" s="29">
        <f t="shared" ref="L16:L19" si="6">I16/AVERAGE(D16:F16)-1</f>
        <v>-2.8622212405591485E-2</v>
      </c>
      <c r="M16" s="29">
        <f t="shared" si="2"/>
        <v>-1.4233067988891901E-2</v>
      </c>
    </row>
    <row r="17" spans="2:13" ht="13" hidden="1" x14ac:dyDescent="0.35">
      <c r="B17" s="121"/>
      <c r="C17" s="31" t="s">
        <v>49</v>
      </c>
      <c r="D17" s="32">
        <f>'DATA-REN'!AF67</f>
        <v>312743.19500000001</v>
      </c>
      <c r="E17" s="32">
        <f>'DATA-REN'!AG67</f>
        <v>342790.12699999998</v>
      </c>
      <c r="F17" s="32">
        <f>'DATA-REN'!AH67</f>
        <v>386509.76400000002</v>
      </c>
      <c r="G17" s="32">
        <f>'DATA-REN'!AI67</f>
        <v>320370.804</v>
      </c>
      <c r="H17" s="32">
        <f>'DATA-REN'!AJ67</f>
        <v>282210.59999999998</v>
      </c>
      <c r="I17" s="131">
        <f>'DATA-REN'!AK67</f>
        <v>285823.63199999998</v>
      </c>
      <c r="K17" s="28">
        <f t="shared" si="5"/>
        <v>1.2802609115320385E-2</v>
      </c>
      <c r="L17" s="29">
        <f t="shared" si="6"/>
        <v>-0.17712529594961479</v>
      </c>
      <c r="M17" s="29">
        <f t="shared" si="2"/>
        <v>-8.6075615490210811E-2</v>
      </c>
    </row>
    <row r="18" spans="2:13" ht="13" hidden="1" x14ac:dyDescent="0.35">
      <c r="B18" s="121"/>
      <c r="C18" s="31" t="s">
        <v>50</v>
      </c>
      <c r="D18" s="32">
        <f>'DATA-REN'!AF68</f>
        <v>218987.29300000001</v>
      </c>
      <c r="E18" s="32">
        <f>'DATA-REN'!AG68</f>
        <v>218536.035</v>
      </c>
      <c r="F18" s="32">
        <f>'DATA-REN'!AH68</f>
        <v>241668.85500000001</v>
      </c>
      <c r="G18" s="32">
        <f>'DATA-REN'!AI68</f>
        <v>212501.36</v>
      </c>
      <c r="H18" s="32">
        <f>'DATA-REN'!AJ68</f>
        <v>194499.946</v>
      </c>
      <c r="I18" s="131">
        <f>'DATA-REN'!AK68</f>
        <v>212278.20199999999</v>
      </c>
      <c r="K18" s="28">
        <f t="shared" si="5"/>
        <v>9.140494054430226E-2</v>
      </c>
      <c r="L18" s="29">
        <f t="shared" si="6"/>
        <v>-6.2364641496470252E-2</v>
      </c>
      <c r="M18" s="29">
        <f t="shared" si="2"/>
        <v>-3.0636896360922705E-2</v>
      </c>
    </row>
    <row r="19" spans="2:13" ht="13" x14ac:dyDescent="0.35">
      <c r="B19" s="121"/>
      <c r="C19" s="33" t="s">
        <v>83</v>
      </c>
      <c r="D19" s="34">
        <f>D17-D18</f>
        <v>93755.902000000002</v>
      </c>
      <c r="E19" s="34">
        <f t="shared" ref="E19:I19" si="7">E17-E18</f>
        <v>124254.09199999998</v>
      </c>
      <c r="F19" s="34">
        <f t="shared" si="7"/>
        <v>144840.90900000001</v>
      </c>
      <c r="G19" s="34">
        <f t="shared" si="7"/>
        <v>107869.44400000002</v>
      </c>
      <c r="H19" s="34">
        <f t="shared" si="7"/>
        <v>87710.65399999998</v>
      </c>
      <c r="I19" s="125">
        <f t="shared" si="7"/>
        <v>73545.429999999993</v>
      </c>
      <c r="K19" s="28">
        <f t="shared" si="5"/>
        <v>-0.16149946846822039</v>
      </c>
      <c r="L19" s="29">
        <f t="shared" si="6"/>
        <v>-0.39193677575056218</v>
      </c>
      <c r="M19" s="29">
        <f t="shared" si="2"/>
        <v>-0.21556479719004795</v>
      </c>
    </row>
    <row r="20" spans="2:13" ht="13" x14ac:dyDescent="0.35">
      <c r="B20" s="121"/>
      <c r="C20" s="33" t="s">
        <v>51</v>
      </c>
      <c r="D20" s="34">
        <f>'DATA-REN'!AF69</f>
        <v>-2698.8989999999999</v>
      </c>
      <c r="E20" s="34">
        <f>'DATA-REN'!AG69</f>
        <v>-8187.6450000000004</v>
      </c>
      <c r="F20" s="34">
        <f>'DATA-REN'!AH69</f>
        <v>9368.1890000000003</v>
      </c>
      <c r="G20" s="34">
        <f>'DATA-REN'!AI69</f>
        <v>-5629.1130000000003</v>
      </c>
      <c r="H20" s="34">
        <f>'DATA-REN'!AJ69</f>
        <v>-12438.89</v>
      </c>
      <c r="I20" s="125">
        <f>'DATA-REN'!AK69</f>
        <v>6044.1540000000005</v>
      </c>
      <c r="K20" s="28"/>
      <c r="L20" s="29"/>
      <c r="M20" s="29"/>
    </row>
    <row r="21" spans="2:13" ht="13" x14ac:dyDescent="0.35">
      <c r="B21" s="122"/>
      <c r="C21" s="37" t="s">
        <v>73</v>
      </c>
      <c r="D21" s="38">
        <f>'DATA-REN'!AF70</f>
        <v>4068285.5980000002</v>
      </c>
      <c r="E21" s="38">
        <f>'DATA-REN'!AG70</f>
        <v>4025460.7409999999</v>
      </c>
      <c r="F21" s="38">
        <f>'DATA-REN'!AH70</f>
        <v>4376017.5939999996</v>
      </c>
      <c r="G21" s="38">
        <f>'DATA-REN'!AI70</f>
        <v>4203021.6579999998</v>
      </c>
      <c r="H21" s="38">
        <f>'DATA-REN'!AJ70</f>
        <v>4010336.983</v>
      </c>
      <c r="I21" s="135">
        <f>'DATA-REN'!AK70</f>
        <v>4000210.014</v>
      </c>
      <c r="K21" s="28">
        <f t="shared" ref="K21:K25" si="8">I21/H21-1</f>
        <v>-2.5252164700694246E-3</v>
      </c>
      <c r="L21" s="29">
        <f t="shared" ref="L21:L25" si="9">I21/AVERAGE(D21:F21)-1</f>
        <v>-3.7621713892953657E-2</v>
      </c>
      <c r="M21" s="29">
        <f t="shared" si="2"/>
        <v>-1.6733236239232285E-2</v>
      </c>
    </row>
    <row r="22" spans="2:13" ht="13" x14ac:dyDescent="0.35">
      <c r="B22" s="120" t="s">
        <v>231</v>
      </c>
      <c r="C22" s="26" t="s">
        <v>47</v>
      </c>
      <c r="D22" s="27">
        <f>'DATA-REN'!AF76+'DATA-REN'!AF81+'DATA-REN'!AF86</f>
        <v>950318.39300000004</v>
      </c>
      <c r="E22" s="27">
        <f>'DATA-REN'!AG76+'DATA-REN'!AG81+'DATA-REN'!AG86</f>
        <v>964135.69800000009</v>
      </c>
      <c r="F22" s="27">
        <f>'DATA-REN'!AH76+'DATA-REN'!AH81+'DATA-REN'!AH86</f>
        <v>973342.20200000005</v>
      </c>
      <c r="G22" s="27">
        <f>'DATA-REN'!AI76+'DATA-REN'!AI81+'DATA-REN'!AI86</f>
        <v>963173.83799999999</v>
      </c>
      <c r="H22" s="27">
        <f>'DATA-REN'!AJ76+'DATA-REN'!AJ81+'DATA-REN'!AJ86</f>
        <v>925253.46699999995</v>
      </c>
      <c r="I22" s="130">
        <f>'DATA-REN'!AK76+'DATA-REN'!AK81+'DATA-REN'!AK86</f>
        <v>937870.84700000007</v>
      </c>
      <c r="K22" s="28">
        <f t="shared" si="8"/>
        <v>1.3636674111484393E-2</v>
      </c>
      <c r="L22" s="29">
        <f t="shared" si="9"/>
        <v>-2.5688706706847975E-2</v>
      </c>
      <c r="M22" s="29">
        <f t="shared" si="2"/>
        <v>-1.3098290101178689E-2</v>
      </c>
    </row>
    <row r="23" spans="2:13" ht="13" hidden="1" x14ac:dyDescent="0.35">
      <c r="B23" s="121"/>
      <c r="C23" s="31" t="s">
        <v>49</v>
      </c>
      <c r="D23" s="32">
        <f>'DATA-REN'!AF77+'DATA-REN'!AF82+'DATA-REN'!AF87</f>
        <v>41461.053</v>
      </c>
      <c r="E23" s="32">
        <f>'DATA-REN'!AG77+'DATA-REN'!AG82+'DATA-REN'!AG87</f>
        <v>39475.168000000005</v>
      </c>
      <c r="F23" s="32">
        <f>'DATA-REN'!AH77+'DATA-REN'!AH82+'DATA-REN'!AH87</f>
        <v>47740.012000000002</v>
      </c>
      <c r="G23" s="32">
        <f>'DATA-REN'!AI77+'DATA-REN'!AI82+'DATA-REN'!AI87</f>
        <v>45980.44</v>
      </c>
      <c r="H23" s="32">
        <f>'DATA-REN'!AJ77+'DATA-REN'!AJ82+'DATA-REN'!AJ87</f>
        <v>47947.653999999995</v>
      </c>
      <c r="I23" s="131">
        <f>'DATA-REN'!AK77+'DATA-REN'!AK82+'DATA-REN'!AK87</f>
        <v>52687.07</v>
      </c>
      <c r="K23" s="28">
        <f t="shared" si="8"/>
        <v>9.8845628609900427E-2</v>
      </c>
      <c r="L23" s="29">
        <f t="shared" si="9"/>
        <v>0.22836367147925429</v>
      </c>
      <c r="M23" s="29">
        <f t="shared" si="2"/>
        <v>0.27076053760622054</v>
      </c>
    </row>
    <row r="24" spans="2:13" ht="13" hidden="1" x14ac:dyDescent="0.35">
      <c r="B24" s="121"/>
      <c r="C24" s="31" t="s">
        <v>50</v>
      </c>
      <c r="D24" s="32">
        <f>'DATA-REN'!AF78+'DATA-REN'!AF83+'DATA-REN'!AF88</f>
        <v>4636.4260000000004</v>
      </c>
      <c r="E24" s="32">
        <f>'DATA-REN'!AG78+'DATA-REN'!AG83+'DATA-REN'!AG88</f>
        <v>3686.3629999999998</v>
      </c>
      <c r="F24" s="32">
        <f>'DATA-REN'!AH78+'DATA-REN'!AH83+'DATA-REN'!AH88</f>
        <v>2398.7150000000001</v>
      </c>
      <c r="G24" s="32">
        <f>'DATA-REN'!AI78+'DATA-REN'!AI83+'DATA-REN'!AI88</f>
        <v>1964.7149999999999</v>
      </c>
      <c r="H24" s="32">
        <f>'DATA-REN'!AJ78+'DATA-REN'!AJ83+'DATA-REN'!AJ88</f>
        <v>1911.73</v>
      </c>
      <c r="I24" s="131">
        <f>'DATA-REN'!AK78+'DATA-REN'!AK83+'DATA-REN'!AK88</f>
        <v>1911.73</v>
      </c>
      <c r="K24" s="28">
        <f t="shared" si="8"/>
        <v>0</v>
      </c>
      <c r="L24" s="29">
        <f t="shared" si="9"/>
        <v>-0.46507598187716948</v>
      </c>
      <c r="M24" s="29">
        <f t="shared" si="2"/>
        <v>-0.58767162465226452</v>
      </c>
    </row>
    <row r="25" spans="2:13" ht="13" x14ac:dyDescent="0.35">
      <c r="B25" s="121"/>
      <c r="C25" s="33" t="s">
        <v>83</v>
      </c>
      <c r="D25" s="34">
        <f>D23-D24</f>
        <v>36824.627</v>
      </c>
      <c r="E25" s="34">
        <f t="shared" ref="E25:I25" si="10">E23-E24</f>
        <v>35788.805000000008</v>
      </c>
      <c r="F25" s="34">
        <f t="shared" si="10"/>
        <v>45341.297000000006</v>
      </c>
      <c r="G25" s="34">
        <f t="shared" si="10"/>
        <v>44015.725000000006</v>
      </c>
      <c r="H25" s="34">
        <f t="shared" si="10"/>
        <v>46035.923999999992</v>
      </c>
      <c r="I25" s="125">
        <f t="shared" si="10"/>
        <v>50775.34</v>
      </c>
      <c r="K25" s="28">
        <f t="shared" si="8"/>
        <v>0.10295038283580471</v>
      </c>
      <c r="L25" s="29">
        <f t="shared" si="9"/>
        <v>0.29139392113732021</v>
      </c>
      <c r="M25" s="29">
        <f t="shared" si="2"/>
        <v>0.37884193640304886</v>
      </c>
    </row>
    <row r="26" spans="2:13" ht="13" x14ac:dyDescent="0.35">
      <c r="B26" s="121"/>
      <c r="C26" s="33" t="s">
        <v>51</v>
      </c>
      <c r="D26" s="34">
        <f>'DATA-REN'!AF79+'DATA-REN'!AF84+'DATA-REN'!AF89</f>
        <v>24.273000000000003</v>
      </c>
      <c r="E26" s="34">
        <f>'DATA-REN'!AG79+'DATA-REN'!AG84+'DATA-REN'!AG89</f>
        <v>39.119</v>
      </c>
      <c r="F26" s="34">
        <f>'DATA-REN'!AH79+'DATA-REN'!AH84+'DATA-REN'!AH89</f>
        <v>234.60300000000001</v>
      </c>
      <c r="G26" s="34">
        <f>'DATA-REN'!AI79+'DATA-REN'!AI84+'DATA-REN'!AI89</f>
        <v>-562.65200000000004</v>
      </c>
      <c r="H26" s="34">
        <f>'DATA-REN'!AJ79+'DATA-REN'!AJ84+'DATA-REN'!AJ89</f>
        <v>230.30600000000001</v>
      </c>
      <c r="I26" s="125">
        <f>'DATA-REN'!AK79+'DATA-REN'!AK84+'DATA-REN'!AK89</f>
        <v>51.840999999999994</v>
      </c>
      <c r="K26" s="28"/>
      <c r="L26" s="29"/>
      <c r="M26" s="29"/>
    </row>
    <row r="27" spans="2:13" ht="13" x14ac:dyDescent="0.35">
      <c r="B27" s="122"/>
      <c r="C27" s="37" t="s">
        <v>73</v>
      </c>
      <c r="D27" s="38">
        <f>'DATA-REN'!AF80+'DATA-REN'!AF85+'DATA-REN'!AF90</f>
        <v>987167.29299999995</v>
      </c>
      <c r="E27" s="38">
        <f>'DATA-REN'!AG80+'DATA-REN'!AG85+'DATA-REN'!AG90</f>
        <v>999963.62199999997</v>
      </c>
      <c r="F27" s="38">
        <f>'DATA-REN'!AH80+'DATA-REN'!AH85+'DATA-REN'!AH90</f>
        <v>1018918.102</v>
      </c>
      <c r="G27" s="38">
        <f>'DATA-REN'!AI80+'DATA-REN'!AI85+'DATA-REN'!AI90</f>
        <v>1006626.9110000001</v>
      </c>
      <c r="H27" s="38">
        <f>'DATA-REN'!AJ80+'DATA-REN'!AJ85+'DATA-REN'!AJ90</f>
        <v>971519.69699999993</v>
      </c>
      <c r="I27" s="135">
        <f>'DATA-REN'!AK80+'DATA-REN'!AK85+'DATA-REN'!AK90</f>
        <v>988698.02799999993</v>
      </c>
      <c r="K27" s="28">
        <f t="shared" ref="K27" si="11">I27/H27-1</f>
        <v>1.7681917364152033E-2</v>
      </c>
      <c r="L27" s="29">
        <f t="shared" ref="L27" si="12">I27/AVERAGE(D27:F27)-1</f>
        <v>-1.3291510808388196E-2</v>
      </c>
      <c r="M27" s="29">
        <f t="shared" si="2"/>
        <v>1.5506338295996347E-3</v>
      </c>
    </row>
    <row r="28" spans="2:13" ht="15.5" customHeight="1" x14ac:dyDescent="0.25">
      <c r="B28" s="39" t="s">
        <v>302</v>
      </c>
    </row>
    <row r="29" spans="2:13" ht="16" customHeight="1" x14ac:dyDescent="0.3">
      <c r="B29" s="41" t="s">
        <v>268</v>
      </c>
    </row>
    <row r="32" spans="2:13" ht="15.5" x14ac:dyDescent="0.35">
      <c r="B32" s="1" t="s">
        <v>253</v>
      </c>
      <c r="C32" s="20"/>
    </row>
    <row r="33" spans="2:13" ht="26" x14ac:dyDescent="0.35">
      <c r="B33" s="118"/>
      <c r="C33" s="118"/>
      <c r="D33" s="71">
        <v>2019</v>
      </c>
      <c r="E33" s="71">
        <v>2020</v>
      </c>
      <c r="F33" s="71">
        <v>2021</v>
      </c>
      <c r="G33" s="71">
        <v>2022</v>
      </c>
      <c r="H33" s="71">
        <v>2023</v>
      </c>
      <c r="I33" s="123" t="s">
        <v>303</v>
      </c>
      <c r="K33" s="23" t="s">
        <v>304</v>
      </c>
      <c r="L33" s="24" t="s">
        <v>305</v>
      </c>
      <c r="M33" s="22" t="s">
        <v>309</v>
      </c>
    </row>
    <row r="34" spans="2:13" ht="13" x14ac:dyDescent="0.35">
      <c r="B34" s="25" t="s">
        <v>232</v>
      </c>
      <c r="C34" s="26" t="s">
        <v>164</v>
      </c>
      <c r="D34" s="65">
        <f>'DATA-REN'!AF55</f>
        <v>288813.37599999999</v>
      </c>
      <c r="E34" s="65">
        <f>'DATA-REN'!AG55</f>
        <v>288822.10700000002</v>
      </c>
      <c r="F34" s="65">
        <f>'DATA-REN'!AH55</f>
        <v>284300.739</v>
      </c>
      <c r="G34" s="65">
        <f>'DATA-REN'!AI55</f>
        <v>282806.09499999997</v>
      </c>
      <c r="H34" s="65">
        <f>'DATA-REN'!AJ55</f>
        <v>277189.12300000002</v>
      </c>
      <c r="I34" s="124">
        <f>'DATA-REN'!AK55</f>
        <v>276548.337</v>
      </c>
      <c r="K34" s="28">
        <f>I34/H34-1</f>
        <v>-2.3117285161294854E-3</v>
      </c>
      <c r="L34" s="29">
        <f>I34/AVERAGE(D34:F34)-1</f>
        <v>-3.7463573493956348E-2</v>
      </c>
      <c r="M34" s="29">
        <f>I34/D34-1</f>
        <v>-4.2467004713798273E-2</v>
      </c>
    </row>
    <row r="35" spans="2:13" ht="13" x14ac:dyDescent="0.35">
      <c r="B35" s="30" t="s">
        <v>232</v>
      </c>
      <c r="C35" s="31" t="s">
        <v>168</v>
      </c>
      <c r="D35" s="34">
        <f>'DATA-REN'!AF60</f>
        <v>195450.242</v>
      </c>
      <c r="E35" s="34">
        <f>'DATA-REN'!AG60</f>
        <v>188429.31</v>
      </c>
      <c r="F35" s="34">
        <f>'DATA-REN'!AH60</f>
        <v>163153.995</v>
      </c>
      <c r="G35" s="34">
        <f>'DATA-REN'!AI60</f>
        <v>163717.552</v>
      </c>
      <c r="H35" s="34">
        <f>'DATA-REN'!AJ60</f>
        <v>169733.45499999999</v>
      </c>
      <c r="I35" s="125">
        <f>'DATA-REN'!AK60</f>
        <v>162773.47</v>
      </c>
      <c r="K35" s="28">
        <f t="shared" ref="K35:K46" si="13">I35/H35-1</f>
        <v>-4.100538105466589E-2</v>
      </c>
      <c r="L35" s="29">
        <f t="shared" ref="L35:L46" si="14">I35/AVERAGE(D35:F35)-1</f>
        <v>-0.10733004826119008</v>
      </c>
      <c r="M35" s="29">
        <f t="shared" ref="M35:M46" si="15">I35/D35-1</f>
        <v>-0.1671871657237447</v>
      </c>
    </row>
    <row r="36" spans="2:13" ht="13" x14ac:dyDescent="0.35">
      <c r="B36" s="30" t="s">
        <v>232</v>
      </c>
      <c r="C36" s="31" t="s">
        <v>174</v>
      </c>
      <c r="D36" s="34">
        <f>'DATA-REN'!AF61</f>
        <v>527160.81400000001</v>
      </c>
      <c r="E36" s="34">
        <f>'DATA-REN'!AG61</f>
        <v>558870.13600000006</v>
      </c>
      <c r="F36" s="34">
        <f>'DATA-REN'!AH61</f>
        <v>639473.10199999996</v>
      </c>
      <c r="G36" s="34">
        <f>'DATA-REN'!AI61</f>
        <v>696277.15099999995</v>
      </c>
      <c r="H36" s="34">
        <f>'DATA-REN'!AJ61</f>
        <v>776628.58200000005</v>
      </c>
      <c r="I36" s="125">
        <f>'DATA-REN'!AK61</f>
        <v>816075.72499999998</v>
      </c>
      <c r="K36" s="28">
        <f t="shared" si="13"/>
        <v>5.0792803554067456E-2</v>
      </c>
      <c r="L36" s="29">
        <f t="shared" si="14"/>
        <v>0.41884753742670422</v>
      </c>
      <c r="M36" s="29">
        <f t="shared" si="15"/>
        <v>0.5480583976031268</v>
      </c>
    </row>
    <row r="37" spans="2:13" ht="13" x14ac:dyDescent="0.35">
      <c r="B37" s="30" t="s">
        <v>232</v>
      </c>
      <c r="C37" s="31" t="s">
        <v>188</v>
      </c>
      <c r="D37" s="34">
        <f>'DATA-REN'!AF75</f>
        <v>591485.174</v>
      </c>
      <c r="E37" s="34">
        <f>'DATA-REN'!AG75</f>
        <v>613906.62699999998</v>
      </c>
      <c r="F37" s="34">
        <f>'DATA-REN'!AH75</f>
        <v>651488.41599999997</v>
      </c>
      <c r="G37" s="34">
        <f>'DATA-REN'!AI75</f>
        <v>661992.62800000003</v>
      </c>
      <c r="H37" s="34">
        <f>'DATA-REN'!AJ75</f>
        <v>661071.04099999997</v>
      </c>
      <c r="I37" s="125">
        <f>'DATA-REN'!AK75</f>
        <v>684535.03300000005</v>
      </c>
      <c r="K37" s="28">
        <f t="shared" si="13"/>
        <v>3.5493903899505463E-2</v>
      </c>
      <c r="L37" s="29">
        <f t="shared" si="14"/>
        <v>0.10594376535382111</v>
      </c>
      <c r="M37" s="29">
        <f t="shared" si="15"/>
        <v>0.15731562360344142</v>
      </c>
    </row>
    <row r="38" spans="2:13" ht="13" x14ac:dyDescent="0.35">
      <c r="B38" s="30" t="s">
        <v>71</v>
      </c>
      <c r="C38" s="31" t="s">
        <v>233</v>
      </c>
      <c r="D38" s="34">
        <f>'DATA-REN'!AF23</f>
        <v>4367.1229999999996</v>
      </c>
      <c r="E38" s="34">
        <f>'DATA-REN'!AG23</f>
        <v>4365.9750000000004</v>
      </c>
      <c r="F38" s="34">
        <f>'DATA-REN'!AH23</f>
        <v>4845.6469999999999</v>
      </c>
      <c r="G38" s="34">
        <f>'DATA-REN'!AI23</f>
        <v>5328.6379999999999</v>
      </c>
      <c r="H38" s="34">
        <f>'DATA-REN'!AJ23</f>
        <v>5515.5190000000002</v>
      </c>
      <c r="I38" s="125">
        <f>'DATA-REN'!AK23</f>
        <v>5976.4889999999996</v>
      </c>
      <c r="K38" s="28">
        <f t="shared" si="13"/>
        <v>8.3576903642250011E-2</v>
      </c>
      <c r="L38" s="29">
        <f t="shared" si="14"/>
        <v>0.32040678280651114</v>
      </c>
      <c r="M38" s="29">
        <f t="shared" si="15"/>
        <v>0.36851858763767353</v>
      </c>
    </row>
    <row r="39" spans="2:13" ht="13" x14ac:dyDescent="0.35">
      <c r="B39" s="30" t="s">
        <v>71</v>
      </c>
      <c r="C39" s="31" t="s">
        <v>234</v>
      </c>
      <c r="D39" s="34">
        <f>'DATA-REN'!AF28</f>
        <v>14771.386</v>
      </c>
      <c r="E39" s="34">
        <f>'DATA-REN'!AG28</f>
        <v>15100.822</v>
      </c>
      <c r="F39" s="34">
        <f>'DATA-REN'!AH28</f>
        <v>15733.019</v>
      </c>
      <c r="G39" s="34">
        <f>'DATA-REN'!AI28</f>
        <v>15746.844999999999</v>
      </c>
      <c r="H39" s="34">
        <f>'DATA-REN'!AJ28</f>
        <v>15835.915000000001</v>
      </c>
      <c r="I39" s="125">
        <f>'DATA-REN'!AK28</f>
        <v>14580.138000000001</v>
      </c>
      <c r="K39" s="28">
        <f t="shared" si="13"/>
        <v>-7.9299301619136009E-2</v>
      </c>
      <c r="L39" s="29">
        <f t="shared" si="14"/>
        <v>-4.0890334785527949E-2</v>
      </c>
      <c r="M39" s="29">
        <f t="shared" si="15"/>
        <v>-1.2947193987077443E-2</v>
      </c>
    </row>
    <row r="40" spans="2:13" ht="13" x14ac:dyDescent="0.35">
      <c r="B40" s="30" t="s">
        <v>71</v>
      </c>
      <c r="C40" s="31" t="s">
        <v>235</v>
      </c>
      <c r="D40" s="34">
        <f>'DATA-REN'!AF33</f>
        <v>0</v>
      </c>
      <c r="E40" s="34">
        <f>'DATA-REN'!AG33</f>
        <v>0</v>
      </c>
      <c r="F40" s="34">
        <f>'DATA-REN'!AH33</f>
        <v>0.156</v>
      </c>
      <c r="G40" s="34">
        <f>'DATA-REN'!AI33</f>
        <v>32.753999999999998</v>
      </c>
      <c r="H40" s="34">
        <f>'DATA-REN'!AJ33</f>
        <v>53.790999999999997</v>
      </c>
      <c r="I40" s="125">
        <f>'DATA-REN'!AK33</f>
        <v>77.882999999999996</v>
      </c>
      <c r="K40" s="28"/>
      <c r="L40" s="29"/>
      <c r="M40" s="29"/>
    </row>
    <row r="41" spans="2:13" ht="13" x14ac:dyDescent="0.35">
      <c r="B41" s="30" t="s">
        <v>71</v>
      </c>
      <c r="C41" s="31" t="s">
        <v>187</v>
      </c>
      <c r="D41" s="34">
        <f>'DATA-REN'!AF38</f>
        <v>1500.153</v>
      </c>
      <c r="E41" s="34">
        <f>'DATA-REN'!AG38</f>
        <v>1485.885</v>
      </c>
      <c r="F41" s="34">
        <f>'DATA-REN'!AH38</f>
        <v>1365.0650000000001</v>
      </c>
      <c r="G41" s="34">
        <f>'DATA-REN'!AI38</f>
        <v>1064.405</v>
      </c>
      <c r="H41" s="34">
        <f>'DATA-REN'!AJ38</f>
        <v>979.88199999999995</v>
      </c>
      <c r="I41" s="125">
        <f>'DATA-REN'!AK38</f>
        <v>1122.7090000000001</v>
      </c>
      <c r="K41" s="28">
        <f t="shared" si="13"/>
        <v>0.14575938735480398</v>
      </c>
      <c r="L41" s="29">
        <f t="shared" si="14"/>
        <v>-0.22591421071852358</v>
      </c>
      <c r="M41" s="29">
        <f t="shared" si="15"/>
        <v>-0.25160366975901793</v>
      </c>
    </row>
    <row r="42" spans="2:13" ht="13" x14ac:dyDescent="0.35">
      <c r="B42" s="30" t="s">
        <v>232</v>
      </c>
      <c r="C42" s="31" t="s">
        <v>225</v>
      </c>
      <c r="D42" s="34">
        <f>'DATA-REN'!AF70</f>
        <v>4068285.5980000002</v>
      </c>
      <c r="E42" s="34">
        <f>'DATA-REN'!AG70</f>
        <v>4025460.7409999999</v>
      </c>
      <c r="F42" s="34">
        <f>'DATA-REN'!AH70</f>
        <v>4376017.5939999996</v>
      </c>
      <c r="G42" s="34">
        <f>'DATA-REN'!AI70</f>
        <v>4203021.6579999998</v>
      </c>
      <c r="H42" s="34">
        <f>'DATA-REN'!AJ70</f>
        <v>4010336.983</v>
      </c>
      <c r="I42" s="125">
        <f>'DATA-REN'!AK70</f>
        <v>4000210.014</v>
      </c>
      <c r="K42" s="28">
        <f t="shared" si="13"/>
        <v>-2.5252164700694246E-3</v>
      </c>
      <c r="L42" s="29">
        <f t="shared" si="14"/>
        <v>-3.7621713892953657E-2</v>
      </c>
      <c r="M42" s="29">
        <f t="shared" si="15"/>
        <v>-1.6733236239232285E-2</v>
      </c>
    </row>
    <row r="43" spans="2:13" ht="13" x14ac:dyDescent="0.35">
      <c r="B43" s="30" t="s">
        <v>71</v>
      </c>
      <c r="C43" s="31" t="s">
        <v>226</v>
      </c>
      <c r="D43" s="34">
        <f>'DATA-REN'!AF18</f>
        <v>609.37400000000002</v>
      </c>
      <c r="E43" s="34">
        <f>'DATA-REN'!AG18</f>
        <v>568.89300000000003</v>
      </c>
      <c r="F43" s="34">
        <f>'DATA-REN'!AH18</f>
        <v>539.26599999999996</v>
      </c>
      <c r="G43" s="34">
        <f>'DATA-REN'!AI18</f>
        <v>512.34</v>
      </c>
      <c r="H43" s="34">
        <f>'DATA-REN'!AJ18</f>
        <v>521.74699999999996</v>
      </c>
      <c r="I43" s="125">
        <f>'DATA-REN'!AK18</f>
        <v>473.73</v>
      </c>
      <c r="K43" s="28">
        <f t="shared" si="13"/>
        <v>-9.2031195196139004E-2</v>
      </c>
      <c r="L43" s="29">
        <f t="shared" si="14"/>
        <v>-0.17253991626361753</v>
      </c>
      <c r="M43" s="29">
        <f t="shared" si="15"/>
        <v>-0.22259564733644688</v>
      </c>
    </row>
    <row r="44" spans="2:13" ht="13" x14ac:dyDescent="0.35">
      <c r="B44" s="30" t="s">
        <v>232</v>
      </c>
      <c r="C44" s="31" t="s">
        <v>190</v>
      </c>
      <c r="D44" s="34">
        <f>'DATA-REN'!AF85</f>
        <v>394842.35</v>
      </c>
      <c r="E44" s="34">
        <f>'DATA-REN'!AG85</f>
        <v>399411.04499999998</v>
      </c>
      <c r="F44" s="34">
        <f>'DATA-REN'!AH85</f>
        <v>409610.24400000001</v>
      </c>
      <c r="G44" s="34">
        <f>'DATA-REN'!AI85</f>
        <v>403992.53100000002</v>
      </c>
      <c r="H44" s="34">
        <f>'DATA-REN'!AJ85</f>
        <v>387805.136</v>
      </c>
      <c r="I44" s="125">
        <f>'DATA-REN'!AK85</f>
        <v>400814.10600000003</v>
      </c>
      <c r="K44" s="28">
        <f t="shared" si="13"/>
        <v>3.3545120454516075E-2</v>
      </c>
      <c r="L44" s="29">
        <f t="shared" si="14"/>
        <v>-1.1806328839539804E-3</v>
      </c>
      <c r="M44" s="29">
        <f t="shared" si="15"/>
        <v>1.5124405981273403E-2</v>
      </c>
    </row>
    <row r="45" spans="2:13" ht="13" x14ac:dyDescent="0.35">
      <c r="B45" s="30" t="s">
        <v>232</v>
      </c>
      <c r="C45" s="31" t="s">
        <v>191</v>
      </c>
      <c r="D45" s="34">
        <f>'DATA-REN'!AF90</f>
        <v>390230.38699999999</v>
      </c>
      <c r="E45" s="34">
        <f>'DATA-REN'!AG90</f>
        <v>394269.80800000002</v>
      </c>
      <c r="F45" s="34">
        <f>'DATA-REN'!AH90</f>
        <v>399305.261</v>
      </c>
      <c r="G45" s="34">
        <f>'DATA-REN'!AI90</f>
        <v>394295.41600000003</v>
      </c>
      <c r="H45" s="34">
        <f>'DATA-REN'!AJ90</f>
        <v>378153.67599999998</v>
      </c>
      <c r="I45" s="125">
        <f>'DATA-REN'!AK90</f>
        <v>389243.04800000001</v>
      </c>
      <c r="K45" s="28">
        <f t="shared" si="13"/>
        <v>2.9325040859843554E-2</v>
      </c>
      <c r="L45" s="29">
        <f t="shared" si="14"/>
        <v>-1.3580197589493137E-2</v>
      </c>
      <c r="M45" s="29">
        <f t="shared" si="15"/>
        <v>-2.5301438147613542E-3</v>
      </c>
    </row>
    <row r="46" spans="2:13" ht="13" x14ac:dyDescent="0.35">
      <c r="B46" s="72" t="s">
        <v>232</v>
      </c>
      <c r="C46" s="73" t="s">
        <v>189</v>
      </c>
      <c r="D46" s="74">
        <f>'DATA-REN'!AF80</f>
        <v>202094.55600000001</v>
      </c>
      <c r="E46" s="74">
        <f>'DATA-REN'!AG80</f>
        <v>206282.769</v>
      </c>
      <c r="F46" s="74">
        <f>'DATA-REN'!AH80</f>
        <v>210002.59700000001</v>
      </c>
      <c r="G46" s="74">
        <f>'DATA-REN'!AI80</f>
        <v>208338.96400000001</v>
      </c>
      <c r="H46" s="74">
        <f>'DATA-REN'!AJ80</f>
        <v>205560.88500000001</v>
      </c>
      <c r="I46" s="126">
        <f>'DATA-REN'!AK80</f>
        <v>198640.87400000001</v>
      </c>
      <c r="K46" s="28">
        <f t="shared" si="13"/>
        <v>-3.3664045569758994E-2</v>
      </c>
      <c r="L46" s="29">
        <f t="shared" si="14"/>
        <v>-3.6316347282698502E-2</v>
      </c>
      <c r="M46" s="29">
        <f t="shared" si="15"/>
        <v>-1.7089436095448329E-2</v>
      </c>
    </row>
    <row r="47" spans="2:13" ht="15.5" customHeight="1" x14ac:dyDescent="0.25">
      <c r="B47" s="39" t="s">
        <v>302</v>
      </c>
      <c r="C47" s="48"/>
    </row>
    <row r="48" spans="2:13" ht="16" customHeight="1" x14ac:dyDescent="0.3">
      <c r="B48" s="41" t="s">
        <v>268</v>
      </c>
      <c r="C48" s="48"/>
    </row>
    <row r="49" spans="3:3" x14ac:dyDescent="0.25">
      <c r="C49" s="48"/>
    </row>
    <row r="50" spans="3:3" x14ac:dyDescent="0.25">
      <c r="C50" s="48"/>
    </row>
    <row r="51" spans="3:3" x14ac:dyDescent="0.25">
      <c r="C51" s="48"/>
    </row>
    <row r="52" spans="3:3" x14ac:dyDescent="0.25">
      <c r="C52" s="48"/>
    </row>
    <row r="53" spans="3:3" x14ac:dyDescent="0.25">
      <c r="C53" s="48"/>
    </row>
    <row r="54" spans="3:3" x14ac:dyDescent="0.25">
      <c r="C54" s="48"/>
    </row>
    <row r="55" spans="3:3" x14ac:dyDescent="0.25">
      <c r="C55" s="48"/>
    </row>
    <row r="56" spans="3:3" x14ac:dyDescent="0.25">
      <c r="C56" s="48"/>
    </row>
    <row r="57" spans="3:3" x14ac:dyDescent="0.25">
      <c r="C57" s="48"/>
    </row>
    <row r="58" spans="3:3" x14ac:dyDescent="0.25">
      <c r="C58" s="48"/>
    </row>
    <row r="59" spans="3:3" x14ac:dyDescent="0.25">
      <c r="C59" s="48"/>
    </row>
    <row r="60" spans="3:3" x14ac:dyDescent="0.25">
      <c r="C60" s="48"/>
    </row>
    <row r="61" spans="3:3" x14ac:dyDescent="0.25">
      <c r="C61" s="48"/>
    </row>
    <row r="62" spans="3:3" x14ac:dyDescent="0.25">
      <c r="C62" s="48"/>
    </row>
    <row r="63" spans="3:3" x14ac:dyDescent="0.25">
      <c r="C63" s="48"/>
    </row>
    <row r="64" spans="3:3" x14ac:dyDescent="0.25">
      <c r="C64" s="48"/>
    </row>
    <row r="65" spans="3:3" x14ac:dyDescent="0.25">
      <c r="C65" s="48"/>
    </row>
    <row r="66" spans="3:3" x14ac:dyDescent="0.25">
      <c r="C66" s="48"/>
    </row>
    <row r="67" spans="3:3" x14ac:dyDescent="0.25">
      <c r="C67" s="48"/>
    </row>
    <row r="68" spans="3:3" x14ac:dyDescent="0.25">
      <c r="C68" s="48"/>
    </row>
    <row r="69" spans="3:3" x14ac:dyDescent="0.25">
      <c r="C69" s="48"/>
    </row>
    <row r="70" spans="3:3" x14ac:dyDescent="0.25">
      <c r="C70" s="48"/>
    </row>
    <row r="71" spans="3:3" x14ac:dyDescent="0.25">
      <c r="C71" s="48"/>
    </row>
    <row r="72" spans="3:3" x14ac:dyDescent="0.25">
      <c r="C72" s="48"/>
    </row>
    <row r="73" spans="3:3" x14ac:dyDescent="0.25">
      <c r="C73" s="48"/>
    </row>
    <row r="74" spans="3:3" x14ac:dyDescent="0.25">
      <c r="C74" s="48"/>
    </row>
    <row r="75" spans="3:3" x14ac:dyDescent="0.25">
      <c r="C75" s="48"/>
    </row>
    <row r="76" spans="3:3" x14ac:dyDescent="0.25">
      <c r="C76" s="48"/>
    </row>
    <row r="77" spans="3:3" x14ac:dyDescent="0.25">
      <c r="C77" s="48"/>
    </row>
    <row r="78" spans="3:3" x14ac:dyDescent="0.25">
      <c r="C78" s="48"/>
    </row>
    <row r="79" spans="3:3" x14ac:dyDescent="0.25">
      <c r="C79" s="48"/>
    </row>
    <row r="80" spans="3:3" x14ac:dyDescent="0.25">
      <c r="C80" s="48"/>
    </row>
    <row r="81" spans="3:3" x14ac:dyDescent="0.25">
      <c r="C81" s="48"/>
    </row>
    <row r="82" spans="3:3" x14ac:dyDescent="0.25">
      <c r="C82" s="48"/>
    </row>
    <row r="83" spans="3:3" x14ac:dyDescent="0.25">
      <c r="C83" s="48"/>
    </row>
    <row r="84" spans="3:3" x14ac:dyDescent="0.25">
      <c r="C84" s="48"/>
    </row>
    <row r="85" spans="3:3" x14ac:dyDescent="0.25">
      <c r="C85" s="48"/>
    </row>
    <row r="86" spans="3:3" x14ac:dyDescent="0.25">
      <c r="C86" s="48"/>
    </row>
    <row r="87" spans="3:3" x14ac:dyDescent="0.25">
      <c r="C87" s="48"/>
    </row>
  </sheetData>
  <mergeCells count="6">
    <mergeCell ref="B16:B21"/>
    <mergeCell ref="B22:B27"/>
    <mergeCell ref="B33:C33"/>
    <mergeCell ref="B3:C3"/>
    <mergeCell ref="B4:B9"/>
    <mergeCell ref="B10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Charts</vt:lpstr>
      </vt:variant>
      <vt:variant>
        <vt:i4>5</vt:i4>
      </vt:variant>
    </vt:vector>
  </HeadingPairs>
  <TitlesOfParts>
    <vt:vector size="17" baseType="lpstr">
      <vt:lpstr>DATA-OIL</vt:lpstr>
      <vt:lpstr>DATA-COAL</vt:lpstr>
      <vt:lpstr>DATA-GAS</vt:lpstr>
      <vt:lpstr>DATA-ELE</vt:lpstr>
      <vt:lpstr>DATA-HEAT</vt:lpstr>
      <vt:lpstr>DATA-REN</vt:lpstr>
      <vt:lpstr>T-COAL&amp;GAS</vt:lpstr>
      <vt:lpstr>T-OIL</vt:lpstr>
      <vt:lpstr>T-ELE</vt:lpstr>
      <vt:lpstr>T-HEAT</vt:lpstr>
      <vt:lpstr>DATA-CHARTS</vt:lpstr>
      <vt:lpstr>T-REN</vt:lpstr>
      <vt:lpstr>HGHLT-CHART</vt:lpstr>
      <vt:lpstr>GAS-CHART</vt:lpstr>
      <vt:lpstr>COAL-CHART</vt:lpstr>
      <vt:lpstr>OIL-CHART</vt:lpstr>
      <vt:lpstr>ELE-CHART</vt:lpstr>
    </vt:vector>
  </TitlesOfParts>
  <Company>European Commission - Eurostat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STURC Marek (ESTAT);Tena.GNJATOVIC@ec.europa.eu</dc:creator>
  <cp:lastModifiedBy>GNJATOVIC Tena (ESTAT)</cp:lastModifiedBy>
  <dcterms:created xsi:type="dcterms:W3CDTF">2023-06-24T13:28:54Z</dcterms:created>
  <dcterms:modified xsi:type="dcterms:W3CDTF">2025-06-27T13:38:33Z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2024-06-19T09:30:34Z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10d097d3-2583-48b3-8355-d896acb8e21f</vt:lpwstr>
  </property>
  <property fmtid="{D5CDD505-2E9C-101B-9397-08002B2CF9AE}" pid="8" name="MSIP_Label_6bd9ddd1-4d20-43f6-abfa-fc3c07406f94_ContentBits">
    <vt:lpwstr>0</vt:lpwstr>
  </property>
</Properties>
</file>